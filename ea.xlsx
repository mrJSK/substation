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mig\Downloads\"/>
    </mc:Choice>
  </mc:AlternateContent>
  <xr:revisionPtr revIDLastSave="0" documentId="13_ncr:1_{6DD3E882-1F55-4A7F-B46A-24767A07C2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laothi" sheetId="3" r:id="rId1"/>
    <sheet name="Sikandrabad" sheetId="5" r:id="rId2"/>
    <sheet name="Bhoor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5" l="1"/>
  <c r="E22" i="3"/>
  <c r="I22" i="3"/>
  <c r="F47" i="7"/>
  <c r="D46" i="7"/>
  <c r="P54" i="7" s="1"/>
  <c r="P36" i="7"/>
  <c r="M53" i="7" s="1"/>
  <c r="O36" i="7"/>
  <c r="O43" i="7" s="1"/>
  <c r="O51" i="7" s="1"/>
  <c r="O55" i="7" s="1"/>
  <c r="N36" i="7"/>
  <c r="M36" i="7"/>
  <c r="N52" i="7" s="1"/>
  <c r="N55" i="7" s="1"/>
  <c r="L36" i="7"/>
  <c r="J52" i="7" s="1"/>
  <c r="J36" i="7"/>
  <c r="H36" i="7"/>
  <c r="F36" i="7"/>
  <c r="D36" i="7"/>
  <c r="B36" i="7"/>
  <c r="K51" i="7" s="1"/>
  <c r="M27" i="7"/>
  <c r="I27" i="7"/>
  <c r="D27" i="7"/>
  <c r="D51" i="7" s="1"/>
  <c r="N16" i="7"/>
  <c r="B51" i="7" s="1"/>
  <c r="J16" i="7"/>
  <c r="F16" i="7"/>
  <c r="J13" i="7"/>
  <c r="N10" i="7"/>
  <c r="J10" i="7"/>
  <c r="F10" i="7"/>
  <c r="N75" i="5"/>
  <c r="AG46" i="5"/>
  <c r="AH74" i="5" s="1"/>
  <c r="AF46" i="5"/>
  <c r="AE46" i="5"/>
  <c r="AD46" i="5"/>
  <c r="AC46" i="5"/>
  <c r="AB46" i="5"/>
  <c r="AA46" i="5"/>
  <c r="AF71" i="5" s="1"/>
  <c r="Y46" i="5"/>
  <c r="X46" i="5"/>
  <c r="W46" i="5"/>
  <c r="V46" i="5"/>
  <c r="S58" i="5" s="1"/>
  <c r="U46" i="5"/>
  <c r="S46" i="5"/>
  <c r="R46" i="5"/>
  <c r="AG72" i="5" s="1"/>
  <c r="Q46" i="5"/>
  <c r="Z73" i="5" s="1"/>
  <c r="P46" i="5"/>
  <c r="N46" i="5"/>
  <c r="AD69" i="5" s="1"/>
  <c r="M46" i="5"/>
  <c r="L46" i="5"/>
  <c r="Y64" i="5" s="1"/>
  <c r="J46" i="5"/>
  <c r="X63" i="5" s="1"/>
  <c r="I46" i="5"/>
  <c r="U60" i="5" s="1"/>
  <c r="H46" i="5"/>
  <c r="F46" i="5"/>
  <c r="D46" i="5"/>
  <c r="AE70" i="5" s="1"/>
  <c r="B46" i="5"/>
  <c r="T59" i="5" s="1"/>
  <c r="AA37" i="5"/>
  <c r="Y37" i="5"/>
  <c r="W37" i="5"/>
  <c r="U37" i="5"/>
  <c r="AC68" i="5" s="1"/>
  <c r="R37" i="5"/>
  <c r="P37" i="5"/>
  <c r="N37" i="5"/>
  <c r="L37" i="5"/>
  <c r="J37" i="5"/>
  <c r="P65" i="5" s="1"/>
  <c r="H37" i="5"/>
  <c r="F37" i="5"/>
  <c r="AB67" i="5" s="1"/>
  <c r="D37" i="5"/>
  <c r="AA66" i="5" s="1"/>
  <c r="B37" i="5"/>
  <c r="D30" i="5"/>
  <c r="Q29" i="5"/>
  <c r="I29" i="5"/>
  <c r="Y28" i="5"/>
  <c r="U28" i="5"/>
  <c r="AA22" i="5"/>
  <c r="V61" i="5" s="1"/>
  <c r="Y22" i="5"/>
  <c r="Q56" i="5" s="1"/>
  <c r="N22" i="5"/>
  <c r="J22" i="5"/>
  <c r="F22" i="5"/>
  <c r="W21" i="5"/>
  <c r="U21" i="5"/>
  <c r="U22" i="5" s="1"/>
  <c r="T21" i="5"/>
  <c r="AB19" i="5"/>
  <c r="W62" i="5" s="1"/>
  <c r="AA19" i="5"/>
  <c r="AA23" i="5" s="1"/>
  <c r="W18" i="5"/>
  <c r="Q15" i="5"/>
  <c r="N15" i="5"/>
  <c r="J15" i="5"/>
  <c r="G15" i="5"/>
  <c r="Q12" i="5"/>
  <c r="M12" i="5"/>
  <c r="J12" i="5"/>
  <c r="M54" i="5" s="1"/>
  <c r="G12" i="5"/>
  <c r="AI55" i="5" s="1"/>
  <c r="R9" i="5"/>
  <c r="N9" i="5"/>
  <c r="J9" i="5"/>
  <c r="G9" i="5"/>
  <c r="R6" i="5"/>
  <c r="P6" i="5" s="1"/>
  <c r="N6" i="5"/>
  <c r="M6" i="5"/>
  <c r="J6" i="5"/>
  <c r="G6" i="5"/>
  <c r="H45" i="3"/>
  <c r="J45" i="3" s="1"/>
  <c r="K33" i="3"/>
  <c r="I33" i="3"/>
  <c r="G33" i="3"/>
  <c r="I44" i="3" s="1"/>
  <c r="J44" i="3" s="1"/>
  <c r="E33" i="3"/>
  <c r="C33" i="3"/>
  <c r="A33" i="3"/>
  <c r="C43" i="3" s="1"/>
  <c r="H13" i="3"/>
  <c r="D13" i="3"/>
  <c r="B42" i="3" s="1"/>
  <c r="D10" i="3"/>
  <c r="G43" i="3" s="1"/>
  <c r="J43" i="3" s="1"/>
  <c r="H7" i="3"/>
  <c r="D7" i="3"/>
  <c r="B43" i="3" l="1"/>
  <c r="B44" i="3" s="1"/>
  <c r="B46" i="3" s="1"/>
  <c r="J52" i="5"/>
  <c r="K52" i="5"/>
  <c r="K75" i="5" s="1"/>
  <c r="D43" i="3"/>
  <c r="D52" i="7"/>
  <c r="B54" i="5"/>
  <c r="W22" i="5"/>
  <c r="R57" i="5" s="1"/>
  <c r="R75" i="5" s="1"/>
  <c r="AJ57" i="5" s="1"/>
  <c r="O53" i="5"/>
  <c r="B52" i="5"/>
  <c r="AJ62" i="5"/>
  <c r="W75" i="5"/>
  <c r="AC75" i="5"/>
  <c r="AJ68" i="5"/>
  <c r="T75" i="5"/>
  <c r="AJ59" i="5"/>
  <c r="AD75" i="5"/>
  <c r="AJ69" i="5"/>
  <c r="AH75" i="5"/>
  <c r="AJ74" i="5"/>
  <c r="Q51" i="7"/>
  <c r="K55" i="7"/>
  <c r="M75" i="5"/>
  <c r="AJ54" i="5"/>
  <c r="B57" i="5"/>
  <c r="B75" i="5" s="1"/>
  <c r="H52" i="5"/>
  <c r="P75" i="5"/>
  <c r="AJ65" i="5"/>
  <c r="AG75" i="5"/>
  <c r="AJ72" i="5"/>
  <c r="H54" i="5"/>
  <c r="Q75" i="5"/>
  <c r="AJ56" i="5"/>
  <c r="AJ66" i="5"/>
  <c r="AA75" i="5"/>
  <c r="U75" i="5"/>
  <c r="AJ60" i="5"/>
  <c r="AI75" i="5"/>
  <c r="AJ55" i="5"/>
  <c r="AJ53" i="5"/>
  <c r="O75" i="5"/>
  <c r="Y75" i="5"/>
  <c r="AJ64" i="5"/>
  <c r="Z75" i="5"/>
  <c r="AJ73" i="5"/>
  <c r="AJ58" i="5"/>
  <c r="S75" i="5"/>
  <c r="AF75" i="5"/>
  <c r="AJ71" i="5"/>
  <c r="Q54" i="7"/>
  <c r="P55" i="7"/>
  <c r="D54" i="5"/>
  <c r="AJ61" i="5"/>
  <c r="V75" i="5"/>
  <c r="AJ67" i="5"/>
  <c r="AB75" i="5"/>
  <c r="AJ70" i="5"/>
  <c r="AE75" i="5"/>
  <c r="X75" i="5"/>
  <c r="AJ63" i="5"/>
  <c r="AJ52" i="5"/>
  <c r="AJ75" i="5" s="1"/>
  <c r="J75" i="5"/>
  <c r="J55" i="7"/>
  <c r="Q52" i="7"/>
  <c r="Q53" i="7"/>
  <c r="M55" i="7"/>
  <c r="F42" i="3"/>
  <c r="D42" i="3"/>
  <c r="D44" i="3" s="1"/>
  <c r="D46" i="3" s="1"/>
  <c r="F52" i="5"/>
  <c r="F57" i="5" s="1"/>
  <c r="F75" i="5" s="1"/>
  <c r="F51" i="7"/>
  <c r="B52" i="7"/>
  <c r="B54" i="7" s="1"/>
  <c r="B55" i="7" s="1"/>
  <c r="C42" i="3"/>
  <c r="C44" i="3" s="1"/>
  <c r="C46" i="3" s="1"/>
  <c r="D52" i="5"/>
  <c r="D54" i="7" l="1"/>
  <c r="D55" i="7" s="1"/>
  <c r="F52" i="7"/>
  <c r="F54" i="7" s="1"/>
  <c r="F55" i="7" s="1"/>
  <c r="Q55" i="7"/>
  <c r="D57" i="5"/>
  <c r="D75" i="5" s="1"/>
  <c r="H57" i="5"/>
  <c r="H75" i="5" s="1"/>
  <c r="F46" i="3"/>
  <c r="J42" i="3"/>
  <c r="J46" i="3" s="1"/>
</calcChain>
</file>

<file path=xl/sharedStrings.xml><?xml version="1.0" encoding="utf-8"?>
<sst xmlns="http://schemas.openxmlformats.org/spreadsheetml/2006/main" count="555" uniqueCount="285">
  <si>
    <t>M/O-02/2026</t>
  </si>
  <si>
    <t>O.E.</t>
  </si>
  <si>
    <t>Exp.</t>
  </si>
  <si>
    <t>O.E. Exp.</t>
  </si>
  <si>
    <t>MF-1</t>
  </si>
  <si>
    <t xml:space="preserve">Imp. </t>
  </si>
  <si>
    <t>CT - 400/1</t>
  </si>
  <si>
    <t xml:space="preserve">132 KV BUS </t>
  </si>
  <si>
    <t>Station</t>
  </si>
  <si>
    <t xml:space="preserve">132/33 KV </t>
  </si>
  <si>
    <t>Transformer</t>
  </si>
  <si>
    <t>CT- 800/1</t>
  </si>
  <si>
    <t>MF- 160</t>
  </si>
  <si>
    <t xml:space="preserve">33 KV BUS </t>
  </si>
  <si>
    <t>CT-400/1</t>
  </si>
  <si>
    <t>MF- 1</t>
  </si>
  <si>
    <t>EDD-II</t>
  </si>
  <si>
    <t>EDD-V</t>
  </si>
  <si>
    <t>ABSTRACT OF S/S</t>
  </si>
  <si>
    <t>NAME OF CIRCLE</t>
  </si>
  <si>
    <t>E.D.D. -VI
BSR</t>
  </si>
  <si>
    <t xml:space="preserve">TOTAL </t>
  </si>
  <si>
    <t>Imp.</t>
  </si>
  <si>
    <t>EDC-I BSR</t>
  </si>
  <si>
    <t>EDC-II BSR</t>
  </si>
  <si>
    <t>EDC-III BSR</t>
  </si>
  <si>
    <t>-</t>
  </si>
  <si>
    <t>Diff</t>
  </si>
  <si>
    <t>ETC-Gr. Noida</t>
  </si>
  <si>
    <t>% Loss</t>
  </si>
  <si>
    <t>Total</t>
  </si>
  <si>
    <t>SDO -I</t>
  </si>
  <si>
    <t xml:space="preserve">AE (T&amp;C) </t>
  </si>
  <si>
    <t>EE (TEST-II)</t>
  </si>
  <si>
    <t>EE (TEST-I)</t>
  </si>
  <si>
    <t>EE (TRANS.)</t>
  </si>
  <si>
    <t>BSR</t>
  </si>
  <si>
    <t>MF-480</t>
  </si>
  <si>
    <t>O.E. Imp.</t>
  </si>
  <si>
    <t>MF-2</t>
  </si>
  <si>
    <t xml:space="preserve">40 MVA </t>
  </si>
  <si>
    <t>MF -2</t>
  </si>
  <si>
    <t>ETD BSR</t>
  </si>
  <si>
    <t>Exp.,</t>
  </si>
  <si>
    <t>Diff.</t>
  </si>
  <si>
    <t>ENERGY ACCOUNT OF 132 KV SUB-STATION GULAOTHI</t>
  </si>
  <si>
    <t>FROM 132 KV S/S BHOOR</t>
  </si>
  <si>
    <t>FROM 132 KV S/S DASNA</t>
  </si>
  <si>
    <t>MF-0.48</t>
  </si>
  <si>
    <t>CT 400/1</t>
  </si>
  <si>
    <t>T/F -I</t>
  </si>
  <si>
    <t>T/F -II</t>
  </si>
  <si>
    <t>CT 800/1</t>
  </si>
  <si>
    <t>MF - 0.24</t>
  </si>
  <si>
    <t>CT-200/1</t>
  </si>
  <si>
    <t>MF -2.0</t>
  </si>
  <si>
    <t>MF 60</t>
  </si>
  <si>
    <t>MF 0.12</t>
  </si>
  <si>
    <t>MF .12</t>
  </si>
  <si>
    <t>MF 2</t>
  </si>
  <si>
    <t xml:space="preserve">Gulaothi </t>
  </si>
  <si>
    <t xml:space="preserve">V.R.S. Food </t>
  </si>
  <si>
    <t>Ayushasteel</t>
  </si>
  <si>
    <t>Sapnawat</t>
  </si>
  <si>
    <t xml:space="preserve">S/S T/F </t>
  </si>
  <si>
    <t xml:space="preserve">  Sanota</t>
  </si>
  <si>
    <t>Gulaothi</t>
  </si>
  <si>
    <t>(Town)</t>
  </si>
  <si>
    <t>E,D.D.-I</t>
  </si>
  <si>
    <t>E.D.D.-I</t>
  </si>
  <si>
    <t>(Rural)</t>
  </si>
  <si>
    <t>HAPUR</t>
  </si>
  <si>
    <t xml:space="preserve">132 KV BUS  </t>
  </si>
  <si>
    <t xml:space="preserve">ABSTRACT OF S/S </t>
  </si>
  <si>
    <t xml:space="preserve">NAME OF CIRLCE </t>
  </si>
  <si>
    <t xml:space="preserve">E.D.D. I </t>
  </si>
  <si>
    <t>ETD, BSR</t>
  </si>
  <si>
    <t>ETD-II, 
G.B.Z</t>
  </si>
  <si>
    <t>EDD-II HAPUR</t>
  </si>
  <si>
    <t>EDC-HPU</t>
  </si>
  <si>
    <t>ETC-G.Z.B.</t>
  </si>
  <si>
    <t>Note :- Reading taking from HV Side so assement done accordingly.</t>
  </si>
  <si>
    <t>E.E. (Test)-II</t>
  </si>
  <si>
    <t>E.E. (Trans.)</t>
  </si>
  <si>
    <t>CT- 400/1</t>
  </si>
  <si>
    <t>T/F-I</t>
  </si>
  <si>
    <t xml:space="preserve">ENERGY ACCOUNT OF 220 KV SUB-STATION SIKANDRABAD </t>
  </si>
  <si>
    <t xml:space="preserve">FROM 220 KV KHURJA </t>
  </si>
  <si>
    <t>TO 220 KV MURADNAGAR</t>
  </si>
  <si>
    <t>400 KV Sikandrabad
CKT-Ist</t>
  </si>
  <si>
    <t>400 KV Sikandrabad
CKT-IInd</t>
  </si>
  <si>
    <t>M/O-Feb-2026</t>
  </si>
  <si>
    <t>L/LOSS OF 220 KV S.BAD CKT-I</t>
  </si>
  <si>
    <t>L/LOSS OF 220 KV S.BAD CKT-II</t>
  </si>
  <si>
    <t>MF1600</t>
  </si>
  <si>
    <t>MF-1600</t>
  </si>
  <si>
    <t>O.E. (Exp)</t>
  </si>
  <si>
    <t>O.E Imp.</t>
  </si>
  <si>
    <t>O.E.-Imp</t>
  </si>
  <si>
    <t>MF-1.6</t>
  </si>
  <si>
    <t>TSS Railway</t>
  </si>
  <si>
    <t xml:space="preserve">132 KV Amba Shakti </t>
  </si>
  <si>
    <t>CT-800/1</t>
  </si>
  <si>
    <t xml:space="preserve">MF 1600 </t>
  </si>
  <si>
    <t>132 KV S/S Bhoor-II</t>
  </si>
  <si>
    <t>CT</t>
  </si>
  <si>
    <t xml:space="preserve">   CT-</t>
  </si>
  <si>
    <t xml:space="preserve">       220 KV BUS </t>
  </si>
  <si>
    <t>Dankaur End</t>
  </si>
  <si>
    <t>S.BAD END C.T.-400/1</t>
  </si>
  <si>
    <t>132 KV Shree Cement</t>
  </si>
  <si>
    <t>160 MVA</t>
  </si>
  <si>
    <t>100 MVA</t>
  </si>
  <si>
    <t>EDD-I</t>
  </si>
  <si>
    <t>220/132 KV</t>
  </si>
  <si>
    <t xml:space="preserve">220/132 KV </t>
  </si>
  <si>
    <t>T/F-II</t>
  </si>
  <si>
    <t>L/LOSS</t>
  </si>
  <si>
    <t>MF - 0.625</t>
  </si>
  <si>
    <t>MF - 0.6</t>
  </si>
  <si>
    <t>MF-0.24</t>
  </si>
  <si>
    <t>CT-500/1</t>
  </si>
  <si>
    <t xml:space="preserve">132/33 KV  </t>
  </si>
  <si>
    <t xml:space="preserve">220/33 KV  </t>
  </si>
  <si>
    <t>40 MVA T/F-I</t>
  </si>
  <si>
    <t>60 MVA T/F-II</t>
  </si>
  <si>
    <t>63 MVA T/F-I</t>
  </si>
  <si>
    <t>63 T/F-II</t>
  </si>
  <si>
    <t>60 MVA T/F-I</t>
  </si>
  <si>
    <t>MF-0.375</t>
  </si>
  <si>
    <t>MF 0.36</t>
  </si>
  <si>
    <t>CT-1200/1</t>
  </si>
  <si>
    <t>MF 0.375</t>
  </si>
  <si>
    <t>MF 0.6</t>
  </si>
  <si>
    <t>CT-150/1</t>
  </si>
  <si>
    <t>CT-60/1</t>
  </si>
  <si>
    <t>CT- 200/1</t>
  </si>
  <si>
    <t>MF- 0.75</t>
  </si>
  <si>
    <t>MF-18</t>
  </si>
  <si>
    <t>MF- 60</t>
  </si>
  <si>
    <t>MF-60</t>
  </si>
  <si>
    <t>MF - 2</t>
  </si>
  <si>
    <t xml:space="preserve">33/11 KV </t>
  </si>
  <si>
    <t>Master Ji</t>
  </si>
  <si>
    <t>Oriant bell</t>
  </si>
  <si>
    <t>Fiber Glass</t>
  </si>
  <si>
    <t>UltraTeck Cement</t>
  </si>
  <si>
    <t>MS Nagar</t>
  </si>
  <si>
    <t>Gopal Pur,</t>
  </si>
  <si>
    <t>Gangeshwari</t>
  </si>
  <si>
    <t>Mahavir Cont.</t>
  </si>
  <si>
    <t>GoodLuck</t>
  </si>
  <si>
    <t>Khurja Road</t>
  </si>
  <si>
    <t>Jokhabad--7</t>
  </si>
  <si>
    <t>Tehshil</t>
  </si>
  <si>
    <t>5 MVA T/F -1</t>
  </si>
  <si>
    <t>Open Access</t>
  </si>
  <si>
    <t xml:space="preserve">EDD- Nodia </t>
  </si>
  <si>
    <t xml:space="preserve"> EDD-I</t>
  </si>
  <si>
    <t>Industrial-II</t>
  </si>
  <si>
    <t>CT-100/1</t>
  </si>
  <si>
    <t>MF-2/60</t>
  </si>
  <si>
    <t>MF-60/0.06</t>
  </si>
  <si>
    <t>MF-0.12</t>
  </si>
  <si>
    <t>MF-0.06</t>
  </si>
  <si>
    <t>MF-30</t>
  </si>
  <si>
    <t>MF-120</t>
  </si>
  <si>
    <t>Saini Alloy</t>
  </si>
  <si>
    <t>Soniya Steel</t>
  </si>
  <si>
    <t>Fakana</t>
  </si>
  <si>
    <t>U.P.Twiga Fiber</t>
  </si>
  <si>
    <t>PPL</t>
  </si>
  <si>
    <t>Apollo Matalex</t>
  </si>
  <si>
    <t>Apollo Tubes</t>
  </si>
  <si>
    <t xml:space="preserve">Blue Star, 
</t>
  </si>
  <si>
    <t>R.M.G</t>
  </si>
  <si>
    <t>Nizampur Town</t>
  </si>
  <si>
    <t>Cellcom</t>
  </si>
  <si>
    <t>Goel Ass.</t>
  </si>
  <si>
    <t xml:space="preserve">Jokhabad-II </t>
  </si>
  <si>
    <t>Dankur</t>
  </si>
  <si>
    <t>Kajaria</t>
  </si>
  <si>
    <t>Muradabad</t>
  </si>
  <si>
    <t>Hygiene</t>
  </si>
  <si>
    <t>Ind. IPL</t>
  </si>
  <si>
    <t>Hi-Tech</t>
  </si>
  <si>
    <t>Rathi Steel</t>
  </si>
  <si>
    <t>AVADA(KOTDARI)</t>
  </si>
  <si>
    <t>GOODLUCK-2</t>
  </si>
  <si>
    <t>GOOD LUCK DEFENCE</t>
  </si>
  <si>
    <t>FUZIAYAMA</t>
  </si>
  <si>
    <t>A.Coated</t>
  </si>
  <si>
    <t>Noida</t>
  </si>
  <si>
    <t>NOIDA</t>
  </si>
  <si>
    <t xml:space="preserve">220 KV BUS </t>
  </si>
  <si>
    <t xml:space="preserve">ABSTRACT OF S.S </t>
  </si>
  <si>
    <t xml:space="preserve">NAME OF CIRCLE </t>
  </si>
  <si>
    <t xml:space="preserve">EDD-I </t>
  </si>
  <si>
    <t xml:space="preserve">ETD M. Nagar </t>
  </si>
  <si>
    <t xml:space="preserve">ETD NOIDA </t>
  </si>
  <si>
    <t>M/s Ultra tech Cement</t>
  </si>
  <si>
    <t>M/s Shree Cement</t>
  </si>
  <si>
    <t>TSS Gulaothi RLY</t>
  </si>
  <si>
    <t>M/s Kjaria</t>
  </si>
  <si>
    <t>M/s Saini Alloy</t>
  </si>
  <si>
    <t>M/s PPL</t>
  </si>
  <si>
    <t>Bhoor-IInd</t>
  </si>
  <si>
    <t>M/s Amba Shakti</t>
  </si>
  <si>
    <t>M/s Appolo Matlex</t>
  </si>
  <si>
    <t>M/s APL Appolo</t>
  </si>
  <si>
    <t>M/s Master Ji</t>
  </si>
  <si>
    <t>M/s Orient</t>
  </si>
  <si>
    <t>M/s Good Luck</t>
  </si>
  <si>
    <t>M/s RMG</t>
  </si>
  <si>
    <t>M/s Soniya Steel</t>
  </si>
  <si>
    <t>M/s Hitech</t>
  </si>
  <si>
    <t>M/s Goel Associates</t>
  </si>
  <si>
    <t>Apollo Coated</t>
  </si>
  <si>
    <t>ETD, KRJ</t>
  </si>
  <si>
    <t>EDC- BSR-II</t>
  </si>
  <si>
    <t>ETC- Noida</t>
  </si>
  <si>
    <t>ETC- GZB</t>
  </si>
  <si>
    <t>ETC-G.Noida</t>
  </si>
  <si>
    <t>Shree Cement</t>
  </si>
  <si>
    <t>Kjaria</t>
  </si>
  <si>
    <t>Bhoor</t>
  </si>
  <si>
    <t>Ultra Tech Cement</t>
  </si>
  <si>
    <t>M/s Cellcom</t>
  </si>
  <si>
    <t>GOOD
LUCK-2</t>
  </si>
  <si>
    <t>%Loss</t>
  </si>
  <si>
    <t>SDO (TRANS.)</t>
  </si>
  <si>
    <t>A.E. (T&amp;C)</t>
  </si>
  <si>
    <t>E.E. (TEST-II)</t>
  </si>
  <si>
    <t>SDO -III</t>
  </si>
  <si>
    <t>AE (T&amp;C)</t>
  </si>
  <si>
    <t>S.KBD</t>
  </si>
  <si>
    <t xml:space="preserve">S.BAD </t>
  </si>
  <si>
    <t xml:space="preserve">BSR </t>
  </si>
  <si>
    <t>MF- 0.12</t>
  </si>
  <si>
    <t xml:space="preserve">              AE (Test) </t>
  </si>
  <si>
    <t xml:space="preserve">                  BSR</t>
  </si>
  <si>
    <t>ENERGY ACCOUNT OF 132 KV SUB-STATION BHOOR</t>
  </si>
  <si>
    <t>FROM KHURJA</t>
  </si>
  <si>
    <t>TO GULAOTHI</t>
  </si>
  <si>
    <t xml:space="preserve">           JAHANGIRABAD (220 KV) </t>
  </si>
  <si>
    <t>O.E.Exp.</t>
  </si>
  <si>
    <t xml:space="preserve">             132/33 KV </t>
  </si>
  <si>
    <t xml:space="preserve">132/37.5 KV </t>
  </si>
  <si>
    <t xml:space="preserve">            40 MVA T/F </t>
  </si>
  <si>
    <t>20 MVA T/F-I</t>
  </si>
  <si>
    <t xml:space="preserve">            63 MVA T/F</t>
  </si>
  <si>
    <t>CT -400/1</t>
  </si>
  <si>
    <t xml:space="preserve">  CT -800/1</t>
  </si>
  <si>
    <t xml:space="preserve">   CT- 1250/1</t>
  </si>
  <si>
    <t xml:space="preserve">  MF-0.24</t>
  </si>
  <si>
    <t>CT-25/1</t>
  </si>
  <si>
    <t>MF- 2.0</t>
  </si>
  <si>
    <t>MF-7.5</t>
  </si>
  <si>
    <t>MF-2/0.12</t>
  </si>
  <si>
    <t>MF-2.0</t>
  </si>
  <si>
    <t>Old</t>
  </si>
  <si>
    <t xml:space="preserve">               T.Nagar</t>
  </si>
  <si>
    <t>Jail</t>
  </si>
  <si>
    <t>Yamuna</t>
  </si>
  <si>
    <t>Hospital</t>
  </si>
  <si>
    <t xml:space="preserve">Avasvikas </t>
  </si>
  <si>
    <t>H.P.U.</t>
  </si>
  <si>
    <t xml:space="preserve">Baral </t>
  </si>
  <si>
    <t>Dist. Court</t>
  </si>
  <si>
    <t>Subjimandi</t>
  </si>
  <si>
    <t>Maharajpur</t>
  </si>
  <si>
    <t>Puram</t>
  </si>
  <si>
    <t>EDD-III</t>
  </si>
  <si>
    <t>EUDD II B</t>
  </si>
  <si>
    <t>EDD VI B</t>
  </si>
  <si>
    <t>33 KV Bhoor</t>
  </si>
  <si>
    <t>E.D.D-I
BSR</t>
  </si>
  <si>
    <t>E.D.D.-II
BSR</t>
  </si>
  <si>
    <t>E.D.D. -III
BSR</t>
  </si>
  <si>
    <t>E.D.D. -V
BSR</t>
  </si>
  <si>
    <t>EE (TEST)</t>
  </si>
  <si>
    <t>BSR-III</t>
  </si>
  <si>
    <t>(LV)</t>
  </si>
  <si>
    <t>MF - 240</t>
  </si>
  <si>
    <t>NOTE-218MW ASSESMENT AT CB NO 31(GOEL ASSOCIATE) DUE TO METER 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</si>
</sst>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00"/>
    <numFmt numFmtId="167" formatCode="0.0"/>
  </numFmts>
  <fonts count="36">
    <font>
      <sz val="11"/>
      <color rgb="FF000000"/>
      <name val="Calibri"/>
      <scheme val="minor"/>
    </font>
    <font>
      <b/>
      <sz val="11"/>
      <name val="Times New Roman"/>
    </font>
    <font>
      <sz val="11"/>
      <name val="Calibri"/>
    </font>
    <font>
      <b/>
      <sz val="10"/>
      <name val="Times New Roman"/>
    </font>
    <font>
      <b/>
      <sz val="11"/>
      <name val="Calibri"/>
    </font>
    <font>
      <b/>
      <sz val="11"/>
      <name val="Arial"/>
    </font>
    <font>
      <b/>
      <sz val="10"/>
      <name val="Arial"/>
    </font>
    <font>
      <b/>
      <sz val="12"/>
      <name val="Arial"/>
    </font>
    <font>
      <sz val="11"/>
      <name val="Calibri"/>
    </font>
    <font>
      <sz val="10"/>
      <name val="Arial"/>
    </font>
    <font>
      <b/>
      <sz val="9"/>
      <name val="Arial"/>
    </font>
    <font>
      <b/>
      <i/>
      <sz val="8"/>
      <name val="Arial"/>
    </font>
    <font>
      <b/>
      <i/>
      <u/>
      <sz val="16"/>
      <name val="Arial"/>
    </font>
    <font>
      <b/>
      <u/>
      <sz val="11"/>
      <name val="Arial"/>
    </font>
    <font>
      <b/>
      <i/>
      <sz val="14"/>
      <name val="Arial"/>
    </font>
    <font>
      <b/>
      <sz val="8"/>
      <name val="Arial"/>
    </font>
    <font>
      <b/>
      <i/>
      <u/>
      <sz val="16"/>
      <name val="Arial"/>
    </font>
    <font>
      <b/>
      <i/>
      <u/>
      <sz val="18"/>
      <name val="Arial"/>
    </font>
    <font>
      <b/>
      <sz val="18"/>
      <name val="Times New Roman"/>
    </font>
    <font>
      <b/>
      <i/>
      <sz val="10"/>
      <name val="Arial"/>
    </font>
    <font>
      <b/>
      <i/>
      <sz val="12"/>
      <name val="Arial"/>
    </font>
    <font>
      <b/>
      <sz val="11"/>
      <name val="Times New Roman"/>
    </font>
    <font>
      <b/>
      <sz val="11"/>
      <name val="Arial"/>
    </font>
    <font>
      <b/>
      <i/>
      <sz val="10"/>
      <name val="Arial"/>
    </font>
    <font>
      <b/>
      <sz val="12"/>
      <color rgb="FFFF0000"/>
      <name val="Times New Roman"/>
    </font>
    <font>
      <b/>
      <i/>
      <sz val="11"/>
      <name val="Arial"/>
    </font>
    <font>
      <b/>
      <sz val="11"/>
      <color rgb="FFFF0000"/>
      <name val="Arial"/>
    </font>
    <font>
      <b/>
      <i/>
      <sz val="11"/>
      <name val="Arial"/>
    </font>
    <font>
      <b/>
      <sz val="10"/>
      <name val="Arial"/>
    </font>
    <font>
      <b/>
      <sz val="10"/>
      <color rgb="FFFF0000"/>
      <name val="Arial"/>
    </font>
    <font>
      <b/>
      <sz val="9"/>
      <name val="Arial"/>
    </font>
    <font>
      <sz val="8"/>
      <name val="Calibri"/>
    </font>
    <font>
      <b/>
      <sz val="10"/>
      <name val="Calibri"/>
    </font>
    <font>
      <b/>
      <i/>
      <u/>
      <sz val="16"/>
      <name val="Arial Rounded"/>
    </font>
    <font>
      <b/>
      <i/>
      <u/>
      <sz val="18"/>
      <name val="Arial Rounded"/>
    </font>
    <font>
      <b/>
      <u/>
      <sz val="11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1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2" fontId="6" fillId="0" borderId="0" xfId="0" applyNumberFormat="1" applyFont="1"/>
    <xf numFmtId="0" fontId="6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13" fillId="0" borderId="0" xfId="0" applyFont="1"/>
    <xf numFmtId="0" fontId="5" fillId="0" borderId="3" xfId="0" applyFont="1" applyBorder="1" applyAlignment="1">
      <alignment vertical="center"/>
    </xf>
    <xf numFmtId="0" fontId="8" fillId="0" borderId="0" xfId="0" applyFont="1"/>
    <xf numFmtId="2" fontId="6" fillId="0" borderId="3" xfId="0" applyNumberFormat="1" applyFont="1" applyBorder="1" applyAlignment="1">
      <alignment horizontal="center"/>
    </xf>
    <xf numFmtId="1" fontId="6" fillId="0" borderId="0" xfId="0" applyNumberFormat="1" applyFont="1"/>
    <xf numFmtId="2" fontId="6" fillId="0" borderId="6" xfId="0" applyNumberFormat="1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5" fillId="0" borderId="3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166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2" fontId="6" fillId="0" borderId="3" xfId="0" applyNumberFormat="1" applyFont="1" applyBorder="1"/>
    <xf numFmtId="165" fontId="6" fillId="0" borderId="3" xfId="0" applyNumberFormat="1" applyFont="1" applyBorder="1"/>
    <xf numFmtId="0" fontId="6" fillId="0" borderId="3" xfId="0" applyFont="1" applyBorder="1"/>
    <xf numFmtId="2" fontId="6" fillId="0" borderId="3" xfId="0" applyNumberFormat="1" applyFont="1" applyBorder="1" applyAlignment="1">
      <alignment horizontal="right"/>
    </xf>
    <xf numFmtId="165" fontId="6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3" xfId="0" applyFont="1" applyBorder="1" applyAlignment="1">
      <alignment vertical="top"/>
    </xf>
    <xf numFmtId="0" fontId="6" fillId="0" borderId="3" xfId="0" applyFont="1" applyBorder="1" applyAlignment="1">
      <alignment horizontal="center" vertical="top" wrapText="1"/>
    </xf>
    <xf numFmtId="0" fontId="5" fillId="0" borderId="3" xfId="0" applyFont="1" applyBorder="1"/>
    <xf numFmtId="0" fontId="15" fillId="0" borderId="3" xfId="0" applyFont="1" applyBorder="1"/>
    <xf numFmtId="0" fontId="6" fillId="0" borderId="3" xfId="0" applyFont="1" applyBorder="1" applyAlignment="1">
      <alignment horizontal="center" vertical="top"/>
    </xf>
    <xf numFmtId="2" fontId="6" fillId="0" borderId="3" xfId="0" applyNumberFormat="1" applyFont="1" applyBorder="1" applyAlignment="1">
      <alignment horizontal="center" vertical="top"/>
    </xf>
    <xf numFmtId="0" fontId="3" fillId="0" borderId="0" xfId="0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20" fillId="0" borderId="0" xfId="0" applyFont="1" applyAlignment="1">
      <alignment vertical="top" wrapText="1"/>
    </xf>
    <xf numFmtId="0" fontId="19" fillId="0" borderId="0" xfId="0" applyFont="1"/>
    <xf numFmtId="0" fontId="19" fillId="0" borderId="0" xfId="0" applyFont="1" applyAlignment="1">
      <alignment vertical="top" wrapText="1"/>
    </xf>
    <xf numFmtId="0" fontId="7" fillId="0" borderId="0" xfId="0" applyFont="1"/>
    <xf numFmtId="0" fontId="7" fillId="0" borderId="0" xfId="0" applyFont="1" applyAlignment="1">
      <alignment vertical="top"/>
    </xf>
    <xf numFmtId="2" fontId="22" fillId="0" borderId="1" xfId="0" applyNumberFormat="1" applyFont="1" applyBorder="1" applyAlignment="1">
      <alignment vertical="center"/>
    </xf>
    <xf numFmtId="2" fontId="22" fillId="0" borderId="2" xfId="0" applyNumberFormat="1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0" fillId="0" borderId="0" xfId="0" applyFont="1" applyAlignment="1">
      <alignment vertical="top"/>
    </xf>
    <xf numFmtId="0" fontId="22" fillId="0" borderId="9" xfId="0" applyFont="1" applyBorder="1" applyAlignment="1">
      <alignment vertical="center" wrapText="1"/>
    </xf>
    <xf numFmtId="166" fontId="22" fillId="0" borderId="2" xfId="0" applyNumberFormat="1" applyFont="1" applyBorder="1" applyAlignment="1">
      <alignment vertical="center"/>
    </xf>
    <xf numFmtId="2" fontId="20" fillId="0" borderId="0" xfId="0" applyNumberFormat="1" applyFont="1" applyAlignment="1">
      <alignment vertical="top"/>
    </xf>
    <xf numFmtId="0" fontId="22" fillId="0" borderId="5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2" fontId="25" fillId="0" borderId="1" xfId="0" applyNumberFormat="1" applyFont="1" applyBorder="1" applyAlignment="1">
      <alignment horizontal="center" vertical="center"/>
    </xf>
    <xf numFmtId="2" fontId="26" fillId="0" borderId="2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2" fontId="27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vertical="center"/>
    </xf>
    <xf numFmtId="0" fontId="27" fillId="0" borderId="0" xfId="0" applyFont="1" applyAlignment="1">
      <alignment vertical="top"/>
    </xf>
    <xf numFmtId="0" fontId="20" fillId="0" borderId="0" xfId="0" applyFont="1"/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 wrapText="1"/>
    </xf>
    <xf numFmtId="0" fontId="20" fillId="0" borderId="0" xfId="0" applyFont="1" applyAlignment="1">
      <alignment horizontal="center" vertical="top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7" fontId="7" fillId="0" borderId="0" xfId="0" applyNumberFormat="1" applyFont="1"/>
    <xf numFmtId="0" fontId="7" fillId="0" borderId="11" xfId="0" applyFont="1" applyBorder="1" applyAlignment="1">
      <alignment vertical="center"/>
    </xf>
    <xf numFmtId="0" fontId="15" fillId="0" borderId="0" xfId="0" applyFont="1" applyAlignment="1">
      <alignment horizontal="center" vertical="top"/>
    </xf>
    <xf numFmtId="0" fontId="22" fillId="0" borderId="1" xfId="0" applyFont="1" applyBorder="1" applyAlignment="1">
      <alignment vertical="center"/>
    </xf>
    <xf numFmtId="2" fontId="26" fillId="0" borderId="1" xfId="0" applyNumberFormat="1" applyFont="1" applyBorder="1" applyAlignment="1">
      <alignment vertical="center"/>
    </xf>
    <xf numFmtId="2" fontId="5" fillId="0" borderId="0" xfId="0" applyNumberFormat="1" applyFont="1" applyAlignment="1">
      <alignment vertical="center"/>
    </xf>
    <xf numFmtId="0" fontId="10" fillId="0" borderId="0" xfId="0" applyFont="1" applyAlignment="1">
      <alignment vertical="top"/>
    </xf>
    <xf numFmtId="0" fontId="7" fillId="0" borderId="0" xfId="0" applyFont="1" applyAlignment="1">
      <alignment horizontal="right"/>
    </xf>
    <xf numFmtId="0" fontId="28" fillId="0" borderId="3" xfId="0" applyFont="1" applyBorder="1"/>
    <xf numFmtId="0" fontId="15" fillId="0" borderId="0" xfId="0" applyFont="1" applyAlignment="1">
      <alignment vertical="top" wrapText="1"/>
    </xf>
    <xf numFmtId="2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2" fontId="28" fillId="0" borderId="3" xfId="0" applyNumberFormat="1" applyFont="1" applyBorder="1"/>
    <xf numFmtId="0" fontId="15" fillId="0" borderId="0" xfId="0" applyFont="1" applyAlignment="1">
      <alignment vertical="top"/>
    </xf>
    <xf numFmtId="2" fontId="29" fillId="0" borderId="3" xfId="0" applyNumberFormat="1" applyFont="1" applyBorder="1"/>
    <xf numFmtId="2" fontId="7" fillId="0" borderId="0" xfId="0" applyNumberFormat="1" applyFont="1"/>
    <xf numFmtId="167" fontId="29" fillId="0" borderId="3" xfId="0" applyNumberFormat="1" applyFont="1" applyBorder="1"/>
    <xf numFmtId="0" fontId="22" fillId="0" borderId="3" xfId="0" applyFont="1" applyBorder="1" applyAlignment="1">
      <alignment horizontal="center" vertical="center"/>
    </xf>
    <xf numFmtId="0" fontId="7" fillId="0" borderId="11" xfId="0" applyFont="1" applyBorder="1"/>
    <xf numFmtId="0" fontId="22" fillId="0" borderId="3" xfId="0" applyFont="1" applyBorder="1" applyAlignment="1">
      <alignment vertical="center"/>
    </xf>
    <xf numFmtId="0" fontId="7" fillId="0" borderId="0" xfId="0" applyFont="1" applyAlignment="1">
      <alignment horizontal="left"/>
    </xf>
    <xf numFmtId="2" fontId="29" fillId="0" borderId="3" xfId="0" applyNumberFormat="1" applyFont="1" applyBorder="1" applyAlignment="1">
      <alignment horizontal="center"/>
    </xf>
    <xf numFmtId="2" fontId="29" fillId="0" borderId="3" xfId="0" applyNumberFormat="1" applyFont="1" applyBorder="1" applyAlignment="1">
      <alignment horizontal="right"/>
    </xf>
    <xf numFmtId="2" fontId="7" fillId="0" borderId="0" xfId="0" applyNumberFormat="1" applyFont="1" applyAlignment="1">
      <alignment horizontal="center"/>
    </xf>
    <xf numFmtId="2" fontId="4" fillId="0" borderId="12" xfId="0" applyNumberFormat="1" applyFont="1" applyBorder="1"/>
    <xf numFmtId="2" fontId="26" fillId="0" borderId="3" xfId="0" applyNumberFormat="1" applyFont="1" applyBorder="1" applyAlignment="1">
      <alignment horizontal="center" vertical="center"/>
    </xf>
    <xf numFmtId="2" fontId="26" fillId="0" borderId="3" xfId="0" applyNumberFormat="1" applyFont="1" applyBorder="1" applyAlignment="1">
      <alignment vertical="center"/>
    </xf>
    <xf numFmtId="2" fontId="29" fillId="0" borderId="3" xfId="0" applyNumberFormat="1" applyFont="1" applyBorder="1" applyAlignment="1">
      <alignment vertical="center"/>
    </xf>
    <xf numFmtId="166" fontId="7" fillId="0" borderId="0" xfId="0" applyNumberFormat="1" applyFont="1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/>
    <xf numFmtId="0" fontId="7" fillId="0" borderId="0" xfId="0" applyFont="1" applyAlignment="1">
      <alignment horizontal="right" vertical="top"/>
    </xf>
    <xf numFmtId="0" fontId="7" fillId="0" borderId="11" xfId="0" applyFont="1" applyBorder="1" applyAlignment="1">
      <alignment horizontal="right" vertical="top"/>
    </xf>
    <xf numFmtId="0" fontId="7" fillId="0" borderId="11" xfId="0" applyFont="1" applyBorder="1" applyAlignment="1">
      <alignment vertical="top"/>
    </xf>
    <xf numFmtId="2" fontId="29" fillId="0" borderId="3" xfId="0" applyNumberFormat="1" applyFont="1" applyBorder="1" applyAlignment="1">
      <alignment horizontal="center" vertical="center"/>
    </xf>
    <xf numFmtId="2" fontId="29" fillId="0" borderId="1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5" xfId="0" applyFont="1" applyBorder="1"/>
    <xf numFmtId="0" fontId="28" fillId="0" borderId="3" xfId="0" applyFont="1" applyBorder="1" applyAlignment="1">
      <alignment horizontal="center"/>
    </xf>
    <xf numFmtId="0" fontId="22" fillId="0" borderId="3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166" fontId="22" fillId="0" borderId="3" xfId="0" applyNumberFormat="1" applyFont="1" applyBorder="1" applyAlignment="1">
      <alignment horizontal="left" vertical="center"/>
    </xf>
    <xf numFmtId="2" fontId="28" fillId="0" borderId="3" xfId="0" applyNumberFormat="1" applyFont="1" applyBorder="1" applyAlignment="1">
      <alignment horizontal="left" vertical="center"/>
    </xf>
    <xf numFmtId="2" fontId="22" fillId="0" borderId="3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167" fontId="28" fillId="0" borderId="3" xfId="0" applyNumberFormat="1" applyFont="1" applyBorder="1" applyAlignment="1">
      <alignment horizontal="left" vertical="center"/>
    </xf>
    <xf numFmtId="167" fontId="30" fillId="0" borderId="3" xfId="0" applyNumberFormat="1" applyFont="1" applyBorder="1" applyAlignment="1">
      <alignment horizontal="left" vertical="center"/>
    </xf>
    <xf numFmtId="166" fontId="29" fillId="0" borderId="3" xfId="0" applyNumberFormat="1" applyFont="1" applyBorder="1" applyAlignment="1">
      <alignment horizontal="left"/>
    </xf>
    <xf numFmtId="2" fontId="26" fillId="0" borderId="0" xfId="0" applyNumberFormat="1" applyFont="1" applyAlignment="1">
      <alignment horizontal="left"/>
    </xf>
    <xf numFmtId="2" fontId="26" fillId="0" borderId="3" xfId="0" applyNumberFormat="1" applyFont="1" applyBorder="1" applyAlignment="1">
      <alignment horizontal="left"/>
    </xf>
    <xf numFmtId="2" fontId="29" fillId="0" borderId="3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left"/>
    </xf>
    <xf numFmtId="2" fontId="22" fillId="0" borderId="6" xfId="0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2" fontId="22" fillId="0" borderId="3" xfId="0" applyNumberFormat="1" applyFont="1" applyBorder="1" applyAlignment="1">
      <alignment horizontal="left"/>
    </xf>
    <xf numFmtId="0" fontId="6" fillId="0" borderId="0" xfId="0" applyFont="1" applyAlignment="1">
      <alignment horizontal="right"/>
    </xf>
    <xf numFmtId="0" fontId="15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15" fillId="0" borderId="3" xfId="0" applyFont="1" applyBorder="1" applyAlignment="1">
      <alignment vertical="top" wrapText="1"/>
    </xf>
    <xf numFmtId="2" fontId="15" fillId="0" borderId="3" xfId="0" applyNumberFormat="1" applyFont="1" applyBorder="1" applyAlignment="1">
      <alignment wrapText="1"/>
    </xf>
    <xf numFmtId="2" fontId="15" fillId="0" borderId="0" xfId="0" applyNumberFormat="1" applyFont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top"/>
    </xf>
    <xf numFmtId="166" fontId="22" fillId="0" borderId="3" xfId="0" applyNumberFormat="1" applyFont="1" applyBorder="1"/>
    <xf numFmtId="166" fontId="22" fillId="0" borderId="0" xfId="0" applyNumberFormat="1" applyFont="1"/>
    <xf numFmtId="0" fontId="28" fillId="0" borderId="0" xfId="0" applyFont="1"/>
    <xf numFmtId="2" fontId="22" fillId="0" borderId="3" xfId="0" applyNumberFormat="1" applyFont="1" applyBorder="1"/>
    <xf numFmtId="0" fontId="28" fillId="0" borderId="0" xfId="0" applyFont="1" applyAlignment="1">
      <alignment horizontal="left"/>
    </xf>
    <xf numFmtId="2" fontId="22" fillId="0" borderId="3" xfId="0" applyNumberFormat="1" applyFont="1" applyBorder="1" applyAlignment="1">
      <alignment horizontal="right"/>
    </xf>
    <xf numFmtId="166" fontId="28" fillId="0" borderId="3" xfId="0" applyNumberFormat="1" applyFont="1" applyBorder="1" applyAlignment="1">
      <alignment horizontal="center"/>
    </xf>
    <xf numFmtId="166" fontId="22" fillId="0" borderId="3" xfId="0" applyNumberFormat="1" applyFont="1" applyBorder="1" applyAlignment="1">
      <alignment horizontal="center"/>
    </xf>
    <xf numFmtId="2" fontId="22" fillId="0" borderId="3" xfId="0" applyNumberFormat="1" applyFont="1" applyBorder="1" applyAlignment="1">
      <alignment horizontal="center"/>
    </xf>
    <xf numFmtId="166" fontId="22" fillId="0" borderId="3" xfId="0" applyNumberFormat="1" applyFont="1" applyBorder="1" applyAlignment="1">
      <alignment horizontal="right"/>
    </xf>
    <xf numFmtId="166" fontId="7" fillId="0" borderId="0" xfId="0" applyNumberFormat="1" applyFont="1" applyAlignment="1">
      <alignment horizontal="right"/>
    </xf>
    <xf numFmtId="0" fontId="28" fillId="0" borderId="1" xfId="0" applyFont="1" applyBorder="1" applyAlignment="1">
      <alignment vertical="center"/>
    </xf>
    <xf numFmtId="0" fontId="28" fillId="0" borderId="3" xfId="0" applyFont="1" applyBorder="1" applyAlignment="1">
      <alignment vertical="center"/>
    </xf>
    <xf numFmtId="166" fontId="22" fillId="0" borderId="3" xfId="0" applyNumberFormat="1" applyFont="1" applyBorder="1" applyAlignment="1">
      <alignment horizontal="left"/>
    </xf>
    <xf numFmtId="2" fontId="28" fillId="0" borderId="3" xfId="0" applyNumberFormat="1" applyFont="1" applyBorder="1" applyAlignment="1">
      <alignment horizontal="left"/>
    </xf>
    <xf numFmtId="0" fontId="28" fillId="0" borderId="3" xfId="0" applyFont="1" applyBorder="1" applyAlignment="1">
      <alignment horizontal="center" vertical="center"/>
    </xf>
    <xf numFmtId="166" fontId="30" fillId="0" borderId="3" xfId="0" applyNumberFormat="1" applyFont="1" applyBorder="1" applyAlignment="1">
      <alignment horizontal="left"/>
    </xf>
    <xf numFmtId="2" fontId="26" fillId="0" borderId="3" xfId="0" applyNumberFormat="1" applyFont="1" applyBorder="1" applyAlignment="1">
      <alignment horizontal="right"/>
    </xf>
    <xf numFmtId="2" fontId="26" fillId="0" borderId="0" xfId="0" applyNumberFormat="1" applyFont="1" applyAlignment="1">
      <alignment horizontal="right"/>
    </xf>
    <xf numFmtId="0" fontId="29" fillId="0" borderId="0" xfId="0" applyFont="1"/>
    <xf numFmtId="2" fontId="29" fillId="0" borderId="0" xfId="0" applyNumberFormat="1" applyFont="1" applyAlignment="1">
      <alignment horizontal="left"/>
    </xf>
    <xf numFmtId="2" fontId="26" fillId="0" borderId="3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right"/>
    </xf>
    <xf numFmtId="0" fontId="29" fillId="0" borderId="1" xfId="0" applyFont="1" applyBorder="1" applyAlignment="1">
      <alignment vertical="top"/>
    </xf>
    <xf numFmtId="0" fontId="29" fillId="0" borderId="3" xfId="0" applyFont="1" applyBorder="1" applyAlignment="1">
      <alignment vertical="center"/>
    </xf>
    <xf numFmtId="0" fontId="6" fillId="0" borderId="0" xfId="0" applyFont="1" applyAlignment="1">
      <alignment horizontal="left" vertical="top" wrapText="1"/>
    </xf>
    <xf numFmtId="0" fontId="15" fillId="0" borderId="0" xfId="0" applyFont="1" applyAlignment="1">
      <alignment horizontal="right" wrapText="1"/>
    </xf>
    <xf numFmtId="0" fontId="4" fillId="0" borderId="0" xfId="0" applyFont="1" applyAlignment="1">
      <alignment horizontal="center" vertical="top"/>
    </xf>
    <xf numFmtId="0" fontId="31" fillId="0" borderId="0" xfId="0" applyFont="1"/>
    <xf numFmtId="0" fontId="5" fillId="0" borderId="3" xfId="0" applyFont="1" applyBorder="1" applyAlignment="1">
      <alignment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2" fontId="7" fillId="0" borderId="3" xfId="0" applyNumberFormat="1" applyFont="1" applyBorder="1" applyAlignment="1">
      <alignment vertical="center"/>
    </xf>
    <xf numFmtId="2" fontId="7" fillId="0" borderId="1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2" fontId="7" fillId="0" borderId="3" xfId="0" applyNumberFormat="1" applyFont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2" fontId="7" fillId="0" borderId="3" xfId="0" applyNumberFormat="1" applyFont="1" applyBorder="1" applyAlignment="1">
      <alignment horizontal="right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/>
    <xf numFmtId="2" fontId="7" fillId="0" borderId="1" xfId="0" applyNumberFormat="1" applyFont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2" fontId="7" fillId="0" borderId="3" xfId="0" applyNumberFormat="1" applyFont="1" applyBorder="1"/>
    <xf numFmtId="2" fontId="6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166" fontId="7" fillId="0" borderId="3" xfId="0" applyNumberFormat="1" applyFont="1" applyBorder="1"/>
    <xf numFmtId="2" fontId="7" fillId="0" borderId="1" xfId="0" applyNumberFormat="1" applyFont="1" applyBorder="1"/>
    <xf numFmtId="2" fontId="5" fillId="0" borderId="3" xfId="0" applyNumberFormat="1" applyFont="1" applyBorder="1"/>
    <xf numFmtId="2" fontId="5" fillId="0" borderId="1" xfId="0" applyNumberFormat="1" applyFont="1" applyBorder="1"/>
    <xf numFmtId="0" fontId="7" fillId="0" borderId="7" xfId="0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2" fontId="7" fillId="0" borderId="14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32" fillId="0" borderId="3" xfId="0" applyFont="1" applyBorder="1" applyAlignment="1">
      <alignment vertical="top" wrapText="1"/>
    </xf>
    <xf numFmtId="2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vertical="top" wrapText="1"/>
    </xf>
    <xf numFmtId="2" fontId="7" fillId="0" borderId="3" xfId="0" applyNumberFormat="1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wrapText="1"/>
    </xf>
    <xf numFmtId="0" fontId="10" fillId="0" borderId="9" xfId="0" applyFont="1" applyBorder="1" applyAlignment="1">
      <alignment vertical="center" wrapText="1"/>
    </xf>
    <xf numFmtId="164" fontId="6" fillId="0" borderId="0" xfId="0" applyNumberFormat="1" applyFont="1"/>
    <xf numFmtId="2" fontId="5" fillId="0" borderId="0" xfId="0" applyNumberFormat="1" applyFont="1"/>
    <xf numFmtId="1" fontId="6" fillId="0" borderId="0" xfId="0" applyNumberFormat="1" applyFont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5" fillId="0" borderId="0" xfId="0" applyFont="1"/>
    <xf numFmtId="0" fontId="5" fillId="0" borderId="0" xfId="0" applyFont="1" applyAlignment="1">
      <alignment horizontal="center" vertical="top"/>
    </xf>
    <xf numFmtId="1" fontId="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5" fillId="0" borderId="5" xfId="0" applyFont="1" applyBorder="1" applyAlignment="1">
      <alignment vertical="center"/>
    </xf>
    <xf numFmtId="166" fontId="5" fillId="0" borderId="0" xfId="0" applyNumberFormat="1" applyFont="1" applyAlignment="1">
      <alignment horizontal="center" vertical="center"/>
    </xf>
    <xf numFmtId="1" fontId="5" fillId="0" borderId="3" xfId="0" applyNumberFormat="1" applyFont="1" applyBorder="1" applyAlignment="1">
      <alignment vertical="center"/>
    </xf>
    <xf numFmtId="165" fontId="5" fillId="0" borderId="3" xfId="0" applyNumberFormat="1" applyFont="1" applyBorder="1" applyAlignment="1">
      <alignment vertical="center"/>
    </xf>
    <xf numFmtId="2" fontId="5" fillId="0" borderId="3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165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right" vertical="center"/>
    </xf>
    <xf numFmtId="2" fontId="5" fillId="0" borderId="0" xfId="0" applyNumberFormat="1" applyFont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166" fontId="5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vertical="center"/>
    </xf>
    <xf numFmtId="2" fontId="5" fillId="0" borderId="2" xfId="0" applyNumberFormat="1" applyFont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2" fontId="9" fillId="0" borderId="3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vertical="top" wrapText="1"/>
    </xf>
    <xf numFmtId="2" fontId="5" fillId="0" borderId="0" xfId="0" applyNumberFormat="1" applyFont="1" applyAlignment="1">
      <alignment vertical="top" wrapText="1"/>
    </xf>
    <xf numFmtId="0" fontId="0" fillId="0" borderId="0" xfId="0"/>
    <xf numFmtId="0" fontId="2" fillId="0" borderId="7" xfId="0" applyFont="1" applyBorder="1"/>
    <xf numFmtId="0" fontId="2" fillId="0" borderId="2" xfId="0" applyFont="1" applyBorder="1"/>
    <xf numFmtId="0" fontId="2" fillId="0" borderId="5" xfId="0" applyFont="1" applyBorder="1"/>
    <xf numFmtId="0" fontId="2" fillId="0" borderId="4" xfId="0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2" fontId="7" fillId="0" borderId="1" xfId="0" applyNumberFormat="1" applyFont="1" applyBorder="1" applyAlignment="1">
      <alignment horizontal="center" vertical="center" wrapText="1"/>
    </xf>
    <xf numFmtId="2" fontId="7" fillId="0" borderId="6" xfId="0" applyNumberFormat="1" applyFont="1" applyBorder="1" applyAlignment="1">
      <alignment horizontal="center" vertical="center"/>
    </xf>
    <xf numFmtId="0" fontId="2" fillId="0" borderId="15" xfId="0" applyFont="1" applyBorder="1"/>
    <xf numFmtId="2" fontId="7" fillId="0" borderId="8" xfId="0" applyNumberFormat="1" applyFont="1" applyBorder="1" applyAlignment="1">
      <alignment horizontal="center" vertical="center"/>
    </xf>
    <xf numFmtId="0" fontId="2" fillId="0" borderId="13" xfId="0" applyFont="1" applyBorder="1"/>
    <xf numFmtId="0" fontId="2" fillId="0" borderId="10" xfId="0" applyFont="1" applyBorder="1"/>
    <xf numFmtId="0" fontId="2" fillId="0" borderId="14" xfId="0" applyFont="1" applyBorder="1"/>
    <xf numFmtId="0" fontId="7" fillId="0" borderId="0" xfId="0" applyFont="1" applyAlignment="1">
      <alignment horizontal="center" vertical="center" wrapText="1"/>
    </xf>
    <xf numFmtId="2" fontId="21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top" wrapText="1"/>
    </xf>
    <xf numFmtId="2" fontId="7" fillId="0" borderId="1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2" fillId="0" borderId="11" xfId="0" applyFont="1" applyBorder="1"/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2" fontId="24" fillId="0" borderId="1" xfId="0" applyNumberFormat="1" applyFont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21" fillId="0" borderId="1" xfId="0" applyFont="1" applyBorder="1" applyAlignment="1">
      <alignment horizontal="center"/>
    </xf>
    <xf numFmtId="166" fontId="22" fillId="0" borderId="1" xfId="0" applyNumberFormat="1" applyFont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2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2" fillId="0" borderId="9" xfId="0" applyFont="1" applyBorder="1"/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9525</xdr:rowOff>
    </xdr:from>
    <xdr:ext cx="0" cy="2657475"/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>
        <a:xfrm flipV="1">
          <a:off x="2262505" y="657225"/>
          <a:ext cx="0" cy="265747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</a:ln>
      </xdr:spPr>
    </xdr:sp>
    <xdr:clientData fLocksWithSheet="0"/>
  </xdr:oneCellAnchor>
  <xdr:oneCellAnchor>
    <xdr:from>
      <xdr:col>7</xdr:col>
      <xdr:colOff>0</xdr:colOff>
      <xdr:row>4</xdr:row>
      <xdr:rowOff>38100</xdr:rowOff>
    </xdr:from>
    <xdr:ext cx="0" cy="2628900"/>
    <xdr:sp macro="" textlink="">
      <xdr:nvSpPr>
        <xdr:cNvPr id="3" name="Line 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>
        <a:xfrm flipV="1">
          <a:off x="5093970" y="685800"/>
          <a:ext cx="0" cy="262890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</a:ln>
      </xdr:spPr>
    </xdr:sp>
    <xdr:clientData fLocksWithSheet="0"/>
  </xdr:oneCellAnchor>
  <xdr:oneCellAnchor>
    <xdr:from>
      <xdr:col>1</xdr:col>
      <xdr:colOff>19050</xdr:colOff>
      <xdr:row>15</xdr:row>
      <xdr:rowOff>28575</xdr:rowOff>
    </xdr:from>
    <xdr:ext cx="5638800" cy="0"/>
    <xdr:sp macro="" textlink="">
      <xdr:nvSpPr>
        <xdr:cNvPr id="4" name="Line 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>
        <a:xfrm>
          <a:off x="734060" y="3400425"/>
          <a:ext cx="563880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3</xdr:col>
      <xdr:colOff>200025</xdr:colOff>
      <xdr:row>15</xdr:row>
      <xdr:rowOff>19050</xdr:rowOff>
    </xdr:from>
    <xdr:ext cx="504825" cy="2962275"/>
    <xdr:grpSp>
      <xdr:nvGrpSpPr>
        <xdr:cNvPr id="5" name="Group 2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2188845" y="3486150"/>
          <a:ext cx="504825" cy="2962275"/>
          <a:chOff x="229" y="364"/>
          <a:chExt cx="43" cy="251"/>
        </a:xfrm>
      </xdr:grpSpPr>
      <xdr:sp macro="" textlink="">
        <xdr:nvSpPr>
          <xdr:cNvPr id="6" name="Oval 9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>
          <a:xfrm>
            <a:off x="229" y="445"/>
            <a:ext cx="42" cy="32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7" name="Oval 10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>
          <a:xfrm>
            <a:off x="230" y="475"/>
            <a:ext cx="42" cy="32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8" name="Line 12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>
            <a:spLocks noChangeShapeType="1"/>
          </xdr:cNvSpPr>
        </xdr:nvSpPr>
        <xdr:spPr>
          <a:xfrm>
            <a:off x="251" y="364"/>
            <a:ext cx="0" cy="8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9" name="Line 13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>
            <a:spLocks noChangeShapeType="1"/>
          </xdr:cNvSpPr>
        </xdr:nvSpPr>
        <xdr:spPr>
          <a:xfrm>
            <a:off x="251" y="508"/>
            <a:ext cx="0" cy="10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</xdr:grpSp>
    <xdr:clientData fLocksWithSheet="0"/>
  </xdr:oneCellAnchor>
  <xdr:oneCellAnchor>
    <xdr:from>
      <xdr:col>1</xdr:col>
      <xdr:colOff>9525</xdr:colOff>
      <xdr:row>27</xdr:row>
      <xdr:rowOff>0</xdr:rowOff>
    </xdr:from>
    <xdr:ext cx="6334125" cy="0"/>
    <xdr:sp macro="" textlink="">
      <xdr:nvSpPr>
        <xdr:cNvPr id="10" name="Line 1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ShapeType="1"/>
        </xdr:cNvSpPr>
      </xdr:nvSpPr>
      <xdr:spPr>
        <a:xfrm>
          <a:off x="724535" y="6343650"/>
          <a:ext cx="6334125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1</xdr:col>
      <xdr:colOff>19050</xdr:colOff>
      <xdr:row>27</xdr:row>
      <xdr:rowOff>19050</xdr:rowOff>
    </xdr:from>
    <xdr:ext cx="0" cy="1962150"/>
    <xdr:sp macro="" textlink="">
      <xdr:nvSpPr>
        <xdr:cNvPr id="11" name="Line 15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ShapeType="1"/>
        </xdr:cNvSpPr>
      </xdr:nvSpPr>
      <xdr:spPr>
        <a:xfrm>
          <a:off x="734060" y="6362700"/>
          <a:ext cx="0" cy="19621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3</xdr:col>
      <xdr:colOff>9525</xdr:colOff>
      <xdr:row>27</xdr:row>
      <xdr:rowOff>0</xdr:rowOff>
    </xdr:from>
    <xdr:ext cx="0" cy="1924050"/>
    <xdr:sp macro="" textlink="">
      <xdr:nvSpPr>
        <xdr:cNvPr id="12" name="Line 16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>
        <a:xfrm>
          <a:off x="2272030" y="6343650"/>
          <a:ext cx="0" cy="19240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6</xdr:col>
      <xdr:colOff>0</xdr:colOff>
      <xdr:row>27</xdr:row>
      <xdr:rowOff>0</xdr:rowOff>
    </xdr:from>
    <xdr:ext cx="0" cy="1914525"/>
    <xdr:sp macro="" textlink="">
      <xdr:nvSpPr>
        <xdr:cNvPr id="13" name="Line 17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ShapeType="1"/>
        </xdr:cNvSpPr>
      </xdr:nvSpPr>
      <xdr:spPr>
        <a:xfrm>
          <a:off x="4378960" y="6343650"/>
          <a:ext cx="0" cy="191452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8</xdr:col>
      <xdr:colOff>0</xdr:colOff>
      <xdr:row>26</xdr:row>
      <xdr:rowOff>200025</xdr:rowOff>
    </xdr:from>
    <xdr:ext cx="0" cy="2047875"/>
    <xdr:sp macro="" textlink="">
      <xdr:nvSpPr>
        <xdr:cNvPr id="14" name="Line 18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ShapeType="1"/>
        </xdr:cNvSpPr>
      </xdr:nvSpPr>
      <xdr:spPr>
        <a:xfrm>
          <a:off x="5808980" y="6296025"/>
          <a:ext cx="0" cy="20478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7</xdr:col>
      <xdr:colOff>200025</xdr:colOff>
      <xdr:row>15</xdr:row>
      <xdr:rowOff>0</xdr:rowOff>
    </xdr:from>
    <xdr:ext cx="495300" cy="2971800"/>
    <xdr:grpSp>
      <xdr:nvGrpSpPr>
        <xdr:cNvPr id="15" name="Group 21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pSpPr/>
      </xdr:nvGrpSpPr>
      <xdr:grpSpPr>
        <a:xfrm>
          <a:off x="4886325" y="3467100"/>
          <a:ext cx="495300" cy="2971800"/>
          <a:chOff x="229" y="364"/>
          <a:chExt cx="43" cy="251"/>
        </a:xfrm>
      </xdr:grpSpPr>
      <xdr:sp macro="" textlink="">
        <xdr:nvSpPr>
          <xdr:cNvPr id="16" name="Oval 22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>
            <a:spLocks noChangeArrowheads="1"/>
          </xdr:cNvSpPr>
        </xdr:nvSpPr>
        <xdr:spPr>
          <a:xfrm>
            <a:off x="229" y="445"/>
            <a:ext cx="42" cy="32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17" name="Oval 23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>
            <a:spLocks noChangeArrowheads="1"/>
          </xdr:cNvSpPr>
        </xdr:nvSpPr>
        <xdr:spPr>
          <a:xfrm>
            <a:off x="230" y="475"/>
            <a:ext cx="42" cy="32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18" name="Line 24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>
            <a:spLocks noChangeShapeType="1"/>
          </xdr:cNvSpPr>
        </xdr:nvSpPr>
        <xdr:spPr>
          <a:xfrm>
            <a:off x="251" y="364"/>
            <a:ext cx="0" cy="8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19" name="Line 25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>
            <a:spLocks noChangeShapeType="1"/>
          </xdr:cNvSpPr>
        </xdr:nvSpPr>
        <xdr:spPr>
          <a:xfrm>
            <a:off x="251" y="508"/>
            <a:ext cx="0" cy="10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</xdr:grpSp>
    <xdr:clientData fLocksWithSheet="0"/>
  </xdr:oneCellAnchor>
  <xdr:oneCellAnchor>
    <xdr:from>
      <xdr:col>10</xdr:col>
      <xdr:colOff>0</xdr:colOff>
      <xdr:row>26</xdr:row>
      <xdr:rowOff>219075</xdr:rowOff>
    </xdr:from>
    <xdr:ext cx="0" cy="2047875"/>
    <xdr:sp macro="" textlink="">
      <xdr:nvSpPr>
        <xdr:cNvPr id="20" name="Line 18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ShapeType="1"/>
        </xdr:cNvSpPr>
      </xdr:nvSpPr>
      <xdr:spPr>
        <a:xfrm>
          <a:off x="7239000" y="6315075"/>
          <a:ext cx="0" cy="20478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5</xdr:col>
      <xdr:colOff>9525</xdr:colOff>
      <xdr:row>27</xdr:row>
      <xdr:rowOff>0</xdr:rowOff>
    </xdr:from>
    <xdr:ext cx="0" cy="1924050"/>
    <xdr:sp macro="" textlink="">
      <xdr:nvSpPr>
        <xdr:cNvPr id="21" name="Line 16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ShapeType="1"/>
        </xdr:cNvSpPr>
      </xdr:nvSpPr>
      <xdr:spPr>
        <a:xfrm>
          <a:off x="3780790" y="6343650"/>
          <a:ext cx="0" cy="19240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7</xdr:col>
      <xdr:colOff>19050</xdr:colOff>
      <xdr:row>27</xdr:row>
      <xdr:rowOff>9525</xdr:rowOff>
    </xdr:from>
    <xdr:ext cx="0" cy="1914525"/>
    <xdr:sp macro="" textlink="">
      <xdr:nvSpPr>
        <xdr:cNvPr id="22" name="Line 17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ShapeType="1"/>
        </xdr:cNvSpPr>
      </xdr:nvSpPr>
      <xdr:spPr>
        <a:xfrm>
          <a:off x="5113020" y="6353175"/>
          <a:ext cx="0" cy="191452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15</xdr:row>
      <xdr:rowOff>209550</xdr:rowOff>
    </xdr:from>
    <xdr:ext cx="14335125" cy="95250"/>
    <xdr:sp macro="" textlink="">
      <xdr:nvSpPr>
        <xdr:cNvPr id="2" name="Line 1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>
        <a:xfrm>
          <a:off x="613410" y="4067175"/>
          <a:ext cx="14335125" cy="9525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8</xdr:col>
      <xdr:colOff>466725</xdr:colOff>
      <xdr:row>16</xdr:row>
      <xdr:rowOff>0</xdr:rowOff>
    </xdr:from>
    <xdr:ext cx="342900" cy="1866900"/>
    <xdr:grpSp>
      <xdr:nvGrpSpPr>
        <xdr:cNvPr id="3" name="Group 5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4764405" y="3688080"/>
          <a:ext cx="342900" cy="1866900"/>
          <a:chOff x="231" y="470"/>
          <a:chExt cx="26" cy="235"/>
        </a:xfrm>
      </xdr:grpSpPr>
      <xdr:sp macro="" textlink="">
        <xdr:nvSpPr>
          <xdr:cNvPr id="4" name="Oval 52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>
            <a:spLocks noChangeArrowheads="1"/>
          </xdr:cNvSpPr>
        </xdr:nvSpPr>
        <xdr:spPr>
          <a:xfrm>
            <a:off x="231" y="557"/>
            <a:ext cx="24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5" name="Line 53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>
            <a:spLocks noChangeShapeType="1"/>
          </xdr:cNvSpPr>
        </xdr:nvSpPr>
        <xdr:spPr>
          <a:xfrm>
            <a:off x="243" y="470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6" name="Oval 54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>
            <a:spLocks noChangeArrowheads="1"/>
          </xdr:cNvSpPr>
        </xdr:nvSpPr>
        <xdr:spPr>
          <a:xfrm>
            <a:off x="231" y="581"/>
            <a:ext cx="26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7" name="Line 55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>
            <a:spLocks noChangeShapeType="1"/>
          </xdr:cNvSpPr>
        </xdr:nvSpPr>
        <xdr:spPr>
          <a:xfrm>
            <a:off x="243" y="618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</xdr:grpSp>
    <xdr:clientData fLocksWithSheet="0"/>
  </xdr:oneCellAnchor>
  <xdr:oneCellAnchor>
    <xdr:from>
      <xdr:col>12</xdr:col>
      <xdr:colOff>85725</xdr:colOff>
      <xdr:row>16</xdr:row>
      <xdr:rowOff>9525</xdr:rowOff>
    </xdr:from>
    <xdr:ext cx="504825" cy="1857375"/>
    <xdr:grpSp>
      <xdr:nvGrpSpPr>
        <xdr:cNvPr id="8" name="Group 56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6654165" y="3697605"/>
          <a:ext cx="504825" cy="1857375"/>
          <a:chOff x="76" y="470"/>
          <a:chExt cx="26" cy="235"/>
        </a:xfrm>
      </xdr:grpSpPr>
      <xdr:sp macro="" textlink="">
        <xdr:nvSpPr>
          <xdr:cNvPr id="9" name="Oval 57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>
            <a:spLocks noChangeArrowheads="1"/>
          </xdr:cNvSpPr>
        </xdr:nvSpPr>
        <xdr:spPr>
          <a:xfrm>
            <a:off x="76" y="557"/>
            <a:ext cx="24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10" name="Line 58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>
            <a:spLocks noChangeShapeType="1"/>
          </xdr:cNvSpPr>
        </xdr:nvSpPr>
        <xdr:spPr>
          <a:xfrm>
            <a:off x="88" y="470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11" name="Oval 59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>
            <a:spLocks noChangeArrowheads="1"/>
          </xdr:cNvSpPr>
        </xdr:nvSpPr>
        <xdr:spPr>
          <a:xfrm>
            <a:off x="76" y="581"/>
            <a:ext cx="26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12" name="Line 60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>
            <a:spLocks noChangeShapeType="1"/>
          </xdr:cNvSpPr>
        </xdr:nvSpPr>
        <xdr:spPr>
          <a:xfrm>
            <a:off x="88" y="618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</xdr:grpSp>
    <xdr:clientData fLocksWithSheet="0"/>
  </xdr:oneCellAnchor>
  <xdr:oneCellAnchor>
    <xdr:from>
      <xdr:col>0</xdr:col>
      <xdr:colOff>38100</xdr:colOff>
      <xdr:row>23</xdr:row>
      <xdr:rowOff>219075</xdr:rowOff>
    </xdr:from>
    <xdr:ext cx="19669125" cy="9525"/>
    <xdr:sp macro="" textlink="">
      <xdr:nvSpPr>
        <xdr:cNvPr id="13" name="Line 6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>
          <a:spLocks noChangeShapeType="1"/>
        </xdr:cNvSpPr>
      </xdr:nvSpPr>
      <xdr:spPr>
        <a:xfrm>
          <a:off x="38100" y="5991225"/>
          <a:ext cx="19669125" cy="9525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2</xdr:col>
      <xdr:colOff>0</xdr:colOff>
      <xdr:row>24</xdr:row>
      <xdr:rowOff>0</xdr:rowOff>
    </xdr:from>
    <xdr:ext cx="247650" cy="1628775"/>
    <xdr:grpSp>
      <xdr:nvGrpSpPr>
        <xdr:cNvPr id="14" name="Group 39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74420" y="5554980"/>
          <a:ext cx="247650" cy="1628775"/>
          <a:chOff x="86" y="470"/>
          <a:chExt cx="26" cy="235"/>
        </a:xfrm>
      </xdr:grpSpPr>
      <xdr:sp macro="" textlink="">
        <xdr:nvSpPr>
          <xdr:cNvPr id="15" name="Oval 40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>
            <a:spLocks noChangeArrowheads="1"/>
          </xdr:cNvSpPr>
        </xdr:nvSpPr>
        <xdr:spPr>
          <a:xfrm>
            <a:off x="86" y="557"/>
            <a:ext cx="24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16" name="Line 41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>
            <a:spLocks noChangeShapeType="1"/>
          </xdr:cNvSpPr>
        </xdr:nvSpPr>
        <xdr:spPr>
          <a:xfrm>
            <a:off x="98" y="470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17" name="Oval 42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>
            <a:spLocks noChangeArrowheads="1"/>
          </xdr:cNvSpPr>
        </xdr:nvSpPr>
        <xdr:spPr>
          <a:xfrm>
            <a:off x="86" y="581"/>
            <a:ext cx="26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18" name="Line 43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>
            <a:spLocks noChangeShapeType="1"/>
          </xdr:cNvSpPr>
        </xdr:nvSpPr>
        <xdr:spPr>
          <a:xfrm>
            <a:off x="98" y="618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</xdr:grpSp>
    <xdr:clientData fLocksWithSheet="0"/>
  </xdr:oneCellAnchor>
  <xdr:oneCellAnchor>
    <xdr:from>
      <xdr:col>22</xdr:col>
      <xdr:colOff>0</xdr:colOff>
      <xdr:row>17</xdr:row>
      <xdr:rowOff>0</xdr:rowOff>
    </xdr:from>
    <xdr:ext cx="9525" cy="1562100"/>
    <xdr:sp macro="" textlink="">
      <xdr:nvSpPr>
        <xdr:cNvPr id="19" name="Line 83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>
          <a:spLocks noChangeShapeType="1"/>
        </xdr:cNvSpPr>
      </xdr:nvSpPr>
      <xdr:spPr>
        <a:xfrm flipH="1">
          <a:off x="16288385" y="4400550"/>
          <a:ext cx="9525" cy="1562100"/>
        </a:xfrm>
        <a:prstGeom prst="line">
          <a:avLst/>
        </a:prstGeom>
        <a:noFill/>
        <a:ln w="19050">
          <a:solidFill>
            <a:srgbClr val="000000"/>
          </a:solidFill>
          <a:round/>
          <a:headEnd type="arrow" w="med" len="med"/>
        </a:ln>
      </xdr:spPr>
    </xdr:sp>
    <xdr:clientData fLocksWithSheet="0"/>
  </xdr:oneCellAnchor>
  <xdr:oneCellAnchor>
    <xdr:from>
      <xdr:col>22</xdr:col>
      <xdr:colOff>314325</xdr:colOff>
      <xdr:row>25</xdr:row>
      <xdr:rowOff>0</xdr:rowOff>
    </xdr:from>
    <xdr:ext cx="733425" cy="1228725"/>
    <xdr:grpSp>
      <xdr:nvGrpSpPr>
        <xdr:cNvPr id="20" name="Group 3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pSpPr/>
      </xdr:nvGrpSpPr>
      <xdr:grpSpPr>
        <a:xfrm>
          <a:off x="13847445" y="5783580"/>
          <a:ext cx="733425" cy="1228725"/>
          <a:chOff x="86" y="470"/>
          <a:chExt cx="26" cy="235"/>
        </a:xfrm>
      </xdr:grpSpPr>
      <xdr:sp macro="" textlink="">
        <xdr:nvSpPr>
          <xdr:cNvPr id="21" name="Oval 4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>
            <a:spLocks noChangeArrowheads="1"/>
          </xdr:cNvSpPr>
        </xdr:nvSpPr>
        <xdr:spPr>
          <a:xfrm>
            <a:off x="86" y="557"/>
            <a:ext cx="24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22" name="Line 4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>
            <a:spLocks noChangeShapeType="1"/>
          </xdr:cNvSpPr>
        </xdr:nvSpPr>
        <xdr:spPr>
          <a:xfrm>
            <a:off x="98" y="470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23" name="Oval 4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>
            <a:spLocks noChangeArrowheads="1"/>
          </xdr:cNvSpPr>
        </xdr:nvSpPr>
        <xdr:spPr>
          <a:xfrm>
            <a:off x="86" y="581"/>
            <a:ext cx="26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24" name="Line 4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>
            <a:spLocks noChangeShapeType="1"/>
          </xdr:cNvSpPr>
        </xdr:nvSpPr>
        <xdr:spPr>
          <a:xfrm>
            <a:off x="98" y="618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</xdr:grpSp>
    <xdr:clientData fLocksWithSheet="0"/>
  </xdr:oneCellAnchor>
  <xdr:oneCellAnchor>
    <xdr:from>
      <xdr:col>22</xdr:col>
      <xdr:colOff>466725</xdr:colOff>
      <xdr:row>30</xdr:row>
      <xdr:rowOff>76200</xdr:rowOff>
    </xdr:from>
    <xdr:ext cx="3714750" cy="0"/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24" idx="1"/>
        </xdr:cNvCxnSpPr>
      </xdr:nvCxnSpPr>
      <xdr:spPr>
        <a:xfrm rot="5400000" flipH="1" flipV="1">
          <a:off x="18611850" y="5591175"/>
          <a:ext cx="635" cy="3714750"/>
        </a:xfrm>
        <a:prstGeom prst="line">
          <a:avLst/>
        </a:prstGeom>
        <a:ln w="19050">
          <a:solidFill>
            <a:schemeClr val="tx1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27</xdr:col>
      <xdr:colOff>466725</xdr:colOff>
      <xdr:row>30</xdr:row>
      <xdr:rowOff>57150</xdr:rowOff>
    </xdr:from>
    <xdr:ext cx="9525" cy="2295525"/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/>
      </xdr:nvCxnSpPr>
      <xdr:spPr>
        <a:xfrm rot="5400000">
          <a:off x="19649440" y="8572500"/>
          <a:ext cx="2295525" cy="9525"/>
        </a:xfrm>
        <a:prstGeom prst="line">
          <a:avLst/>
        </a:prstGeom>
        <a:ln w="19050">
          <a:solidFill>
            <a:schemeClr val="dk1">
              <a:shade val="95000"/>
              <a:satMod val="105000"/>
            </a:schemeClr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27</xdr:col>
      <xdr:colOff>28575</xdr:colOff>
      <xdr:row>39</xdr:row>
      <xdr:rowOff>200025</xdr:rowOff>
    </xdr:from>
    <xdr:ext cx="428625" cy="0"/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/>
      </xdr:nvCxnSpPr>
      <xdr:spPr>
        <a:xfrm rot="16200000" flipH="1">
          <a:off x="20568285" y="9519920"/>
          <a:ext cx="0" cy="428625"/>
        </a:xfrm>
        <a:prstGeom prst="line">
          <a:avLst/>
        </a:prstGeom>
        <a:ln w="19050">
          <a:solidFill>
            <a:schemeClr val="dk1">
              <a:shade val="95000"/>
              <a:satMod val="105000"/>
            </a:schemeClr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8</xdr:col>
      <xdr:colOff>257175</xdr:colOff>
      <xdr:row>31</xdr:row>
      <xdr:rowOff>0</xdr:rowOff>
    </xdr:from>
    <xdr:ext cx="14163675" cy="0"/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/>
      </xdr:nvCxnSpPr>
      <xdr:spPr>
        <a:xfrm>
          <a:off x="5474335" y="7600950"/>
          <a:ext cx="14163675" cy="0"/>
        </a:xfrm>
        <a:prstGeom prst="line">
          <a:avLst/>
        </a:prstGeom>
        <a:ln w="1905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47625</xdr:colOff>
      <xdr:row>30</xdr:row>
      <xdr:rowOff>238125</xdr:rowOff>
    </xdr:from>
    <xdr:ext cx="4629150" cy="9525"/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/>
      </xdr:nvCxnSpPr>
      <xdr:spPr>
        <a:xfrm>
          <a:off x="47625" y="7600950"/>
          <a:ext cx="4629150" cy="9525"/>
        </a:xfrm>
        <a:prstGeom prst="line">
          <a:avLst/>
        </a:prstGeom>
        <a:ln w="1905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</xdr:col>
      <xdr:colOff>257175</xdr:colOff>
      <xdr:row>31</xdr:row>
      <xdr:rowOff>0</xdr:rowOff>
    </xdr:from>
    <xdr:ext cx="0" cy="1552575"/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/>
      </xdr:nvCxnSpPr>
      <xdr:spPr>
        <a:xfrm rot="5400000">
          <a:off x="671511" y="8377239"/>
          <a:ext cx="1552578" cy="1588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6</xdr:col>
      <xdr:colOff>628650</xdr:colOff>
      <xdr:row>31</xdr:row>
      <xdr:rowOff>47625</xdr:rowOff>
    </xdr:from>
    <xdr:ext cx="0" cy="1409700"/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/>
      </xdr:nvCxnSpPr>
      <xdr:spPr>
        <a:xfrm flipH="1">
          <a:off x="3853815" y="7650480"/>
          <a:ext cx="7620" cy="140970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8</xdr:col>
      <xdr:colOff>800100</xdr:colOff>
      <xdr:row>31</xdr:row>
      <xdr:rowOff>19050</xdr:rowOff>
    </xdr:from>
    <xdr:ext cx="0" cy="1352550"/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 rot="5400000">
          <a:off x="5340985" y="8295640"/>
          <a:ext cx="1352550" cy="635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12</xdr:col>
      <xdr:colOff>828675</xdr:colOff>
      <xdr:row>31</xdr:row>
      <xdr:rowOff>19050</xdr:rowOff>
    </xdr:from>
    <xdr:ext cx="0" cy="1371600"/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 rot="5400000">
          <a:off x="7965440" y="8305165"/>
          <a:ext cx="1371600" cy="635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21</xdr:col>
      <xdr:colOff>742950</xdr:colOff>
      <xdr:row>31</xdr:row>
      <xdr:rowOff>0</xdr:rowOff>
    </xdr:from>
    <xdr:ext cx="0" cy="1514475"/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/>
      </xdr:nvCxnSpPr>
      <xdr:spPr>
        <a:xfrm flipH="1">
          <a:off x="15971520" y="7589520"/>
          <a:ext cx="7620" cy="151638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0</xdr:colOff>
      <xdr:row>39</xdr:row>
      <xdr:rowOff>171450</xdr:rowOff>
    </xdr:from>
    <xdr:ext cx="23002875" cy="57150"/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>
          <a:off x="0" y="9267825"/>
          <a:ext cx="23002875" cy="57150"/>
        </a:xfrm>
        <a:prstGeom prst="line">
          <a:avLst/>
        </a:prstGeom>
        <a:ln w="1905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0</xdr:colOff>
      <xdr:row>39</xdr:row>
      <xdr:rowOff>180975</xdr:rowOff>
    </xdr:from>
    <xdr:ext cx="0" cy="1733550"/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/>
      </xdr:nvCxnSpPr>
      <xdr:spPr>
        <a:xfrm>
          <a:off x="9829164" y="9707245"/>
          <a:ext cx="639" cy="1737998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13</xdr:col>
      <xdr:colOff>0</xdr:colOff>
      <xdr:row>39</xdr:row>
      <xdr:rowOff>171450</xdr:rowOff>
    </xdr:from>
    <xdr:ext cx="9525" cy="1781175"/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/>
      </xdr:nvCxnSpPr>
      <xdr:spPr>
        <a:xfrm flipH="1">
          <a:off x="8382000" y="9688830"/>
          <a:ext cx="9525" cy="178689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16</xdr:col>
      <xdr:colOff>9525</xdr:colOff>
      <xdr:row>39</xdr:row>
      <xdr:rowOff>200025</xdr:rowOff>
    </xdr:from>
    <xdr:ext cx="0" cy="1704975"/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/>
      </xdr:nvCxnSpPr>
      <xdr:spPr>
        <a:xfrm>
          <a:off x="10822305" y="9717405"/>
          <a:ext cx="5715" cy="1712595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18</xdr:col>
      <xdr:colOff>0</xdr:colOff>
      <xdr:row>39</xdr:row>
      <xdr:rowOff>190500</xdr:rowOff>
    </xdr:from>
    <xdr:ext cx="0" cy="1743075"/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/>
      </xdr:nvCxnSpPr>
      <xdr:spPr>
        <a:xfrm>
          <a:off x="12832080" y="9707880"/>
          <a:ext cx="0" cy="174498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4</xdr:col>
      <xdr:colOff>219075</xdr:colOff>
      <xdr:row>39</xdr:row>
      <xdr:rowOff>219075</xdr:rowOff>
    </xdr:from>
    <xdr:ext cx="9525" cy="1552575"/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/>
      </xdr:nvCxnSpPr>
      <xdr:spPr>
        <a:xfrm>
          <a:off x="2497455" y="9762490"/>
          <a:ext cx="11430" cy="1560195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114300</xdr:colOff>
      <xdr:row>31</xdr:row>
      <xdr:rowOff>9525</xdr:rowOff>
    </xdr:from>
    <xdr:ext cx="352425" cy="1362075"/>
    <xdr:grpSp>
      <xdr:nvGrpSpPr>
        <xdr:cNvPr id="46" name="Group 39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GrpSpPr/>
      </xdr:nvGrpSpPr>
      <xdr:grpSpPr>
        <a:xfrm>
          <a:off x="114300" y="7164705"/>
          <a:ext cx="352425" cy="1362075"/>
          <a:chOff x="86" y="470"/>
          <a:chExt cx="26" cy="149"/>
        </a:xfrm>
      </xdr:grpSpPr>
      <xdr:sp macro="" textlink="">
        <xdr:nvSpPr>
          <xdr:cNvPr id="47" name="Oval 40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SpPr>
            <a:spLocks noChangeArrowheads="1"/>
          </xdr:cNvSpPr>
        </xdr:nvSpPr>
        <xdr:spPr>
          <a:xfrm>
            <a:off x="86" y="557"/>
            <a:ext cx="24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48" name="Line 41">
            <a:extLst>
              <a:ext uri="{FF2B5EF4-FFF2-40B4-BE49-F238E27FC236}">
                <a16:creationId xmlns:a16="http://schemas.microsoft.com/office/drawing/2014/main" id="{00000000-0008-0000-0400-000030000000}"/>
              </a:ext>
            </a:extLst>
          </xdr:cNvPr>
          <xdr:cNvSpPr>
            <a:spLocks noChangeShapeType="1"/>
          </xdr:cNvSpPr>
        </xdr:nvSpPr>
        <xdr:spPr>
          <a:xfrm>
            <a:off x="98" y="470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49" name="Oval 42">
            <a:extLst>
              <a:ext uri="{FF2B5EF4-FFF2-40B4-BE49-F238E27FC236}">
                <a16:creationId xmlns:a16="http://schemas.microsoft.com/office/drawing/2014/main" id="{00000000-0008-0000-0400-000031000000}"/>
              </a:ext>
            </a:extLst>
          </xdr:cNvPr>
          <xdr:cNvSpPr>
            <a:spLocks noChangeArrowheads="1"/>
          </xdr:cNvSpPr>
        </xdr:nvSpPr>
        <xdr:spPr>
          <a:xfrm>
            <a:off x="86" y="581"/>
            <a:ext cx="26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</xdr:grpSp>
    <xdr:clientData fLocksWithSheet="0"/>
  </xdr:oneCellAnchor>
  <xdr:oneCellAnchor>
    <xdr:from>
      <xdr:col>23</xdr:col>
      <xdr:colOff>828675</xdr:colOff>
      <xdr:row>31</xdr:row>
      <xdr:rowOff>9525</xdr:rowOff>
    </xdr:from>
    <xdr:ext cx="9525" cy="1419225"/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/>
      </xdr:nvCxnSpPr>
      <xdr:spPr>
        <a:xfrm flipH="1">
          <a:off x="17806035" y="7604760"/>
          <a:ext cx="9525" cy="142494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14</xdr:col>
      <xdr:colOff>0</xdr:colOff>
      <xdr:row>3</xdr:row>
      <xdr:rowOff>0</xdr:rowOff>
    </xdr:from>
    <xdr:ext cx="0" cy="2924175"/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/>
      </xdr:nvCxnSpPr>
      <xdr:spPr>
        <a:xfrm rot="5400000" flipH="1" flipV="1">
          <a:off x="7888605" y="2576195"/>
          <a:ext cx="2924175" cy="0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8</xdr:col>
      <xdr:colOff>0</xdr:colOff>
      <xdr:row>3</xdr:row>
      <xdr:rowOff>0</xdr:rowOff>
    </xdr:from>
    <xdr:ext cx="0" cy="3019425"/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/>
      </xdr:nvCxnSpPr>
      <xdr:spPr>
        <a:xfrm rot="5400000" flipH="1" flipV="1">
          <a:off x="3707130" y="2623820"/>
          <a:ext cx="3019425" cy="0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21</xdr:col>
      <xdr:colOff>0</xdr:colOff>
      <xdr:row>40</xdr:row>
      <xdr:rowOff>152400</xdr:rowOff>
    </xdr:from>
    <xdr:ext cx="0" cy="1590675"/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CxnSpPr/>
      </xdr:nvCxnSpPr>
      <xdr:spPr>
        <a:xfrm rot="16200000" flipH="1">
          <a:off x="14429423" y="10701339"/>
          <a:ext cx="1590675" cy="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23</xdr:col>
      <xdr:colOff>762000</xdr:colOff>
      <xdr:row>16</xdr:row>
      <xdr:rowOff>247650</xdr:rowOff>
    </xdr:from>
    <xdr:ext cx="0" cy="1619250"/>
    <xdr:sp macro="" textlink="">
      <xdr:nvSpPr>
        <xdr:cNvPr id="55" name="Line 83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>
          <a:spLocks noChangeShapeType="1"/>
        </xdr:cNvSpPr>
      </xdr:nvSpPr>
      <xdr:spPr>
        <a:xfrm>
          <a:off x="18039715" y="4381500"/>
          <a:ext cx="0" cy="1619250"/>
        </a:xfrm>
        <a:prstGeom prst="line">
          <a:avLst/>
        </a:prstGeom>
        <a:noFill/>
        <a:ln w="19050">
          <a:solidFill>
            <a:srgbClr val="000000"/>
          </a:solidFill>
          <a:round/>
          <a:headEnd type="arrow" w="med" len="med"/>
        </a:ln>
      </xdr:spPr>
    </xdr:sp>
    <xdr:clientData fLocksWithSheet="0"/>
  </xdr:oneCellAnchor>
  <xdr:oneCellAnchor>
    <xdr:from>
      <xdr:col>22</xdr:col>
      <xdr:colOff>0</xdr:colOff>
      <xdr:row>40</xdr:row>
      <xdr:rowOff>133350</xdr:rowOff>
    </xdr:from>
    <xdr:ext cx="0" cy="1581150"/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CxnSpPr/>
      </xdr:nvCxnSpPr>
      <xdr:spPr>
        <a:xfrm rot="16200000" flipH="1">
          <a:off x="15190470" y="10669905"/>
          <a:ext cx="1581150" cy="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20</xdr:col>
      <xdr:colOff>9525</xdr:colOff>
      <xdr:row>39</xdr:row>
      <xdr:rowOff>190500</xdr:rowOff>
    </xdr:from>
    <xdr:ext cx="0" cy="1771650"/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/>
      </xdr:nvCxnSpPr>
      <xdr:spPr>
        <a:xfrm>
          <a:off x="14457045" y="9707880"/>
          <a:ext cx="5715" cy="177546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723900</xdr:colOff>
      <xdr:row>39</xdr:row>
      <xdr:rowOff>209550</xdr:rowOff>
    </xdr:from>
    <xdr:ext cx="9525" cy="1752600"/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CxnSpPr/>
      </xdr:nvCxnSpPr>
      <xdr:spPr>
        <a:xfrm rot="16200000" flipH="1">
          <a:off x="6424613" y="10186987"/>
          <a:ext cx="1754505" cy="1143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24</xdr:col>
      <xdr:colOff>0</xdr:colOff>
      <xdr:row>39</xdr:row>
      <xdr:rowOff>190500</xdr:rowOff>
    </xdr:from>
    <xdr:ext cx="0" cy="1800225"/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/>
      </xdr:nvCxnSpPr>
      <xdr:spPr>
        <a:xfrm>
          <a:off x="17815560" y="9707880"/>
          <a:ext cx="7620" cy="180594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39</xdr:row>
      <xdr:rowOff>190500</xdr:rowOff>
    </xdr:from>
    <xdr:ext cx="0" cy="1533525"/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CxnSpPr/>
      </xdr:nvCxnSpPr>
      <xdr:spPr>
        <a:xfrm rot="16200000" flipH="1">
          <a:off x="-297815" y="10051415"/>
          <a:ext cx="1536700" cy="762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3</xdr:row>
      <xdr:rowOff>0</xdr:rowOff>
    </xdr:from>
    <xdr:ext cx="0" cy="2943225"/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/>
      </xdr:nvCxnSpPr>
      <xdr:spPr>
        <a:xfrm rot="5400000" flipH="1" flipV="1">
          <a:off x="5596255" y="2585720"/>
          <a:ext cx="2943225" cy="0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18</xdr:col>
      <xdr:colOff>0</xdr:colOff>
      <xdr:row>3</xdr:row>
      <xdr:rowOff>0</xdr:rowOff>
    </xdr:from>
    <xdr:ext cx="0" cy="3019425"/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/>
      </xdr:nvCxnSpPr>
      <xdr:spPr>
        <a:xfrm rot="5400000" flipH="1" flipV="1">
          <a:off x="11633200" y="2623820"/>
          <a:ext cx="3019425" cy="0"/>
        </a:xfrm>
        <a:prstGeom prst="straightConnector1">
          <a:avLst/>
        </a:prstGeom>
        <a:ln w="25400" cap="flat" cmpd="sng" algn="ctr">
          <a:solidFill>
            <a:schemeClr val="dk1"/>
          </a:solidFill>
          <a:prstDash val="solid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20</xdr:col>
      <xdr:colOff>0</xdr:colOff>
      <xdr:row>17</xdr:row>
      <xdr:rowOff>0</xdr:rowOff>
    </xdr:from>
    <xdr:ext cx="9525" cy="1562100"/>
    <xdr:sp macro="" textlink="">
      <xdr:nvSpPr>
        <xdr:cNvPr id="63" name="Line 83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>
          <a:spLocks noChangeShapeType="1"/>
        </xdr:cNvSpPr>
      </xdr:nvSpPr>
      <xdr:spPr>
        <a:xfrm flipH="1">
          <a:off x="14759940" y="4400550"/>
          <a:ext cx="9525" cy="1562100"/>
        </a:xfrm>
        <a:prstGeom prst="line">
          <a:avLst/>
        </a:prstGeom>
        <a:noFill/>
        <a:ln w="19050">
          <a:solidFill>
            <a:srgbClr val="000000"/>
          </a:solidFill>
          <a:round/>
          <a:headEnd type="arrow" w="med" len="med"/>
        </a:ln>
      </xdr:spPr>
    </xdr:sp>
    <xdr:clientData fLocksWithSheet="0"/>
  </xdr:oneCellAnchor>
  <xdr:oneCellAnchor>
    <xdr:from>
      <xdr:col>20</xdr:col>
      <xdr:colOff>0</xdr:colOff>
      <xdr:row>31</xdr:row>
      <xdr:rowOff>0</xdr:rowOff>
    </xdr:from>
    <xdr:ext cx="0" cy="1438275"/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CxnSpPr/>
      </xdr:nvCxnSpPr>
      <xdr:spPr>
        <a:xfrm>
          <a:off x="14447520" y="7589520"/>
          <a:ext cx="7620" cy="144018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26</xdr:col>
      <xdr:colOff>0</xdr:colOff>
      <xdr:row>17</xdr:row>
      <xdr:rowOff>0</xdr:rowOff>
    </xdr:from>
    <xdr:ext cx="9525" cy="1562100"/>
    <xdr:sp macro="" textlink="">
      <xdr:nvSpPr>
        <xdr:cNvPr id="65" name="Line 83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>
          <a:spLocks noChangeShapeType="1"/>
        </xdr:cNvSpPr>
      </xdr:nvSpPr>
      <xdr:spPr>
        <a:xfrm flipH="1">
          <a:off x="19403695" y="4400550"/>
          <a:ext cx="9525" cy="1562100"/>
        </a:xfrm>
        <a:prstGeom prst="line">
          <a:avLst/>
        </a:prstGeom>
        <a:noFill/>
        <a:ln w="19050">
          <a:solidFill>
            <a:srgbClr val="000000"/>
          </a:solidFill>
          <a:round/>
          <a:headEnd type="arrow" w="med" len="med"/>
        </a:ln>
      </xdr:spPr>
    </xdr:sp>
    <xdr:clientData fLocksWithSheet="0"/>
  </xdr:oneCellAnchor>
  <xdr:oneCellAnchor>
    <xdr:from>
      <xdr:col>8</xdr:col>
      <xdr:colOff>819150</xdr:colOff>
      <xdr:row>40</xdr:row>
      <xdr:rowOff>0</xdr:rowOff>
    </xdr:from>
    <xdr:ext cx="0" cy="1695450"/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/>
      </xdr:nvCxnSpPr>
      <xdr:spPr>
        <a:xfrm>
          <a:off x="5737860" y="9747886"/>
          <a:ext cx="7623" cy="1697357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533400</xdr:colOff>
      <xdr:row>18</xdr:row>
      <xdr:rowOff>190500</xdr:rowOff>
    </xdr:from>
    <xdr:ext cx="323850" cy="285750"/>
    <xdr:sp macro="" textlink="">
      <xdr:nvSpPr>
        <xdr:cNvPr id="69" name="Oval 52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>
          <a:spLocks noChangeArrowheads="1"/>
        </xdr:cNvSpPr>
      </xdr:nvSpPr>
      <xdr:spPr>
        <a:xfrm>
          <a:off x="2022475" y="4819650"/>
          <a:ext cx="323850" cy="28575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3</xdr:col>
      <xdr:colOff>647700</xdr:colOff>
      <xdr:row>15</xdr:row>
      <xdr:rowOff>238125</xdr:rowOff>
    </xdr:from>
    <xdr:ext cx="0" cy="723900"/>
    <xdr:sp macro="" textlink="">
      <xdr:nvSpPr>
        <xdr:cNvPr id="70" name="Line 53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>
          <a:spLocks noChangeShapeType="1"/>
        </xdr:cNvSpPr>
      </xdr:nvSpPr>
      <xdr:spPr>
        <a:xfrm>
          <a:off x="2136775" y="4095750"/>
          <a:ext cx="0" cy="72390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3</xdr:col>
      <xdr:colOff>533400</xdr:colOff>
      <xdr:row>19</xdr:row>
      <xdr:rowOff>152400</xdr:rowOff>
    </xdr:from>
    <xdr:ext cx="342900" cy="304800"/>
    <xdr:sp macro="" textlink="">
      <xdr:nvSpPr>
        <xdr:cNvPr id="71" name="Oval 54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>
          <a:spLocks noChangeArrowheads="1"/>
        </xdr:cNvSpPr>
      </xdr:nvSpPr>
      <xdr:spPr>
        <a:xfrm>
          <a:off x="2022475" y="5010150"/>
          <a:ext cx="342900" cy="3048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3</xdr:col>
      <xdr:colOff>647700</xdr:colOff>
      <xdr:row>20</xdr:row>
      <xdr:rowOff>219075</xdr:rowOff>
    </xdr:from>
    <xdr:ext cx="0" cy="676275"/>
    <xdr:sp macro="" textlink="">
      <xdr:nvSpPr>
        <xdr:cNvPr id="72" name="Line 55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>
          <a:spLocks noChangeShapeType="1"/>
        </xdr:cNvSpPr>
      </xdr:nvSpPr>
      <xdr:spPr>
        <a:xfrm>
          <a:off x="2136775" y="5305425"/>
          <a:ext cx="0" cy="676275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15</xdr:col>
      <xdr:colOff>95250</xdr:colOff>
      <xdr:row>26</xdr:row>
      <xdr:rowOff>123825</xdr:rowOff>
    </xdr:from>
    <xdr:ext cx="285750" cy="266700"/>
    <xdr:sp macro="" textlink="">
      <xdr:nvSpPr>
        <xdr:cNvPr id="73" name="Oval 40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>
          <a:spLocks noChangeArrowheads="1"/>
        </xdr:cNvSpPr>
      </xdr:nvSpPr>
      <xdr:spPr>
        <a:xfrm>
          <a:off x="10231120" y="6581775"/>
          <a:ext cx="285750" cy="2667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15</xdr:col>
      <xdr:colOff>57150</xdr:colOff>
      <xdr:row>27</xdr:row>
      <xdr:rowOff>76200</xdr:rowOff>
    </xdr:from>
    <xdr:ext cx="361950" cy="266700"/>
    <xdr:sp macro="" textlink="">
      <xdr:nvSpPr>
        <xdr:cNvPr id="74" name="Oval 42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>
          <a:spLocks noChangeArrowheads="1"/>
        </xdr:cNvSpPr>
      </xdr:nvSpPr>
      <xdr:spPr>
        <a:xfrm>
          <a:off x="10193020" y="6762750"/>
          <a:ext cx="361950" cy="2667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15</xdr:col>
      <xdr:colOff>238125</xdr:colOff>
      <xdr:row>28</xdr:row>
      <xdr:rowOff>85725</xdr:rowOff>
    </xdr:from>
    <xdr:ext cx="0" cy="609600"/>
    <xdr:sp macro="" textlink="">
      <xdr:nvSpPr>
        <xdr:cNvPr id="75" name="Line 43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>
          <a:spLocks noChangeShapeType="1"/>
        </xdr:cNvSpPr>
      </xdr:nvSpPr>
      <xdr:spPr>
        <a:xfrm>
          <a:off x="10373995" y="7000875"/>
          <a:ext cx="0" cy="60960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15</xdr:col>
      <xdr:colOff>238125</xdr:colOff>
      <xdr:row>24</xdr:row>
      <xdr:rowOff>0</xdr:rowOff>
    </xdr:from>
    <xdr:ext cx="0" cy="609600"/>
    <xdr:sp macro="" textlink="">
      <xdr:nvSpPr>
        <xdr:cNvPr id="76" name="Line 41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>
          <a:spLocks noChangeShapeType="1"/>
        </xdr:cNvSpPr>
      </xdr:nvSpPr>
      <xdr:spPr>
        <a:xfrm>
          <a:off x="10373995" y="6000750"/>
          <a:ext cx="0" cy="60960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27</xdr:col>
      <xdr:colOff>0</xdr:colOff>
      <xdr:row>17</xdr:row>
      <xdr:rowOff>9525</xdr:rowOff>
    </xdr:from>
    <xdr:ext cx="9525" cy="1562100"/>
    <xdr:sp macro="" textlink="">
      <xdr:nvSpPr>
        <xdr:cNvPr id="84" name="Line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>
          <a:spLocks noChangeShapeType="1"/>
        </xdr:cNvSpPr>
      </xdr:nvSpPr>
      <xdr:spPr>
        <a:xfrm flipH="1">
          <a:off x="20325715" y="4410075"/>
          <a:ext cx="9525" cy="1562100"/>
        </a:xfrm>
        <a:prstGeom prst="line">
          <a:avLst/>
        </a:prstGeom>
        <a:noFill/>
        <a:ln w="19050">
          <a:solidFill>
            <a:srgbClr val="000000"/>
          </a:solidFill>
          <a:round/>
          <a:headEnd type="arrow" w="med" len="med"/>
        </a:ln>
      </xdr:spPr>
    </xdr:sp>
    <xdr:clientData fLocksWithSheet="0"/>
  </xdr:oneCellAnchor>
  <xdr:oneCellAnchor>
    <xdr:from>
      <xdr:col>26</xdr:col>
      <xdr:colOff>0</xdr:colOff>
      <xdr:row>39</xdr:row>
      <xdr:rowOff>209550</xdr:rowOff>
    </xdr:from>
    <xdr:ext cx="0" cy="1752600"/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/>
      </xdr:nvCxnSpPr>
      <xdr:spPr>
        <a:xfrm flipH="1">
          <a:off x="19042380" y="9730740"/>
          <a:ext cx="1905" cy="176022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7</xdr:col>
      <xdr:colOff>390525</xdr:colOff>
      <xdr:row>26</xdr:row>
      <xdr:rowOff>133350</xdr:rowOff>
    </xdr:from>
    <xdr:ext cx="228600" cy="266700"/>
    <xdr:sp macro="" textlink="">
      <xdr:nvSpPr>
        <xdr:cNvPr id="86" name="Oval 40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>
          <a:spLocks noChangeArrowheads="1"/>
        </xdr:cNvSpPr>
      </xdr:nvSpPr>
      <xdr:spPr>
        <a:xfrm>
          <a:off x="4686935" y="6591300"/>
          <a:ext cx="228600" cy="2667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7</xdr:col>
      <xdr:colOff>504825</xdr:colOff>
      <xdr:row>23</xdr:row>
      <xdr:rowOff>228600</xdr:rowOff>
    </xdr:from>
    <xdr:ext cx="0" cy="590550"/>
    <xdr:sp macro="" textlink="">
      <xdr:nvSpPr>
        <xdr:cNvPr id="87" name="Line 41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>
          <a:spLocks noChangeShapeType="1"/>
        </xdr:cNvSpPr>
      </xdr:nvSpPr>
      <xdr:spPr>
        <a:xfrm>
          <a:off x="4801235" y="6000750"/>
          <a:ext cx="0" cy="59055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7</xdr:col>
      <xdr:colOff>390525</xdr:colOff>
      <xdr:row>27</xdr:row>
      <xdr:rowOff>66675</xdr:rowOff>
    </xdr:from>
    <xdr:ext cx="247650" cy="266700"/>
    <xdr:sp macro="" textlink="">
      <xdr:nvSpPr>
        <xdr:cNvPr id="88" name="Oval 42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>
          <a:spLocks noChangeArrowheads="1"/>
        </xdr:cNvSpPr>
      </xdr:nvSpPr>
      <xdr:spPr>
        <a:xfrm>
          <a:off x="4686935" y="6753225"/>
          <a:ext cx="247650" cy="2667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7</xdr:col>
      <xdr:colOff>504825</xdr:colOff>
      <xdr:row>28</xdr:row>
      <xdr:rowOff>104775</xdr:rowOff>
    </xdr:from>
    <xdr:ext cx="0" cy="590550"/>
    <xdr:sp macro="" textlink="">
      <xdr:nvSpPr>
        <xdr:cNvPr id="89" name="Line 43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>
          <a:spLocks noChangeShapeType="1"/>
        </xdr:cNvSpPr>
      </xdr:nvSpPr>
      <xdr:spPr>
        <a:xfrm>
          <a:off x="4801235" y="7019925"/>
          <a:ext cx="0" cy="59055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21</xdr:col>
      <xdr:colOff>228600</xdr:colOff>
      <xdr:row>16</xdr:row>
      <xdr:rowOff>19050</xdr:rowOff>
    </xdr:from>
    <xdr:ext cx="19050" cy="2076450"/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CxnSpPr/>
      </xdr:nvCxnSpPr>
      <xdr:spPr>
        <a:xfrm rot="16200000" flipH="1">
          <a:off x="14733905" y="5181600"/>
          <a:ext cx="2076450" cy="19050"/>
        </a:xfrm>
        <a:prstGeom prst="line">
          <a:avLst/>
        </a:prstGeom>
        <a:ln w="1905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21</xdr:col>
      <xdr:colOff>238125</xdr:colOff>
      <xdr:row>24</xdr:row>
      <xdr:rowOff>238125</xdr:rowOff>
    </xdr:from>
    <xdr:ext cx="981075" cy="9525"/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CxnSpPr/>
      </xdr:nvCxnSpPr>
      <xdr:spPr>
        <a:xfrm>
          <a:off x="15772130" y="6229350"/>
          <a:ext cx="981075" cy="9525"/>
        </a:xfrm>
        <a:prstGeom prst="line">
          <a:avLst/>
        </a:prstGeom>
        <a:ln w="1905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238125</xdr:colOff>
      <xdr:row>25</xdr:row>
      <xdr:rowOff>9525</xdr:rowOff>
    </xdr:from>
    <xdr:ext cx="438150" cy="1228725"/>
    <xdr:grpSp>
      <xdr:nvGrpSpPr>
        <xdr:cNvPr id="92" name="Group 39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GrpSpPr/>
      </xdr:nvGrpSpPr>
      <xdr:grpSpPr>
        <a:xfrm>
          <a:off x="11843385" y="5793105"/>
          <a:ext cx="438150" cy="1228725"/>
          <a:chOff x="84" y="470"/>
          <a:chExt cx="26" cy="235"/>
        </a:xfrm>
      </xdr:grpSpPr>
      <xdr:sp macro="" textlink="">
        <xdr:nvSpPr>
          <xdr:cNvPr id="93" name="Oval 40">
            <a:extLst>
              <a:ext uri="{FF2B5EF4-FFF2-40B4-BE49-F238E27FC236}">
                <a16:creationId xmlns:a16="http://schemas.microsoft.com/office/drawing/2014/main" id="{00000000-0008-0000-0400-00005D000000}"/>
              </a:ext>
            </a:extLst>
          </xdr:cNvPr>
          <xdr:cNvSpPr>
            <a:spLocks noChangeArrowheads="1"/>
          </xdr:cNvSpPr>
        </xdr:nvSpPr>
        <xdr:spPr>
          <a:xfrm>
            <a:off x="84" y="557"/>
            <a:ext cx="24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94" name="Line 41">
            <a:extLst>
              <a:ext uri="{FF2B5EF4-FFF2-40B4-BE49-F238E27FC236}">
                <a16:creationId xmlns:a16="http://schemas.microsoft.com/office/drawing/2014/main" id="{00000000-0008-0000-0400-00005E000000}"/>
              </a:ext>
            </a:extLst>
          </xdr:cNvPr>
          <xdr:cNvSpPr>
            <a:spLocks noChangeShapeType="1"/>
          </xdr:cNvSpPr>
        </xdr:nvSpPr>
        <xdr:spPr>
          <a:xfrm>
            <a:off x="96" y="470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95" name="Oval 42">
            <a:extLst>
              <a:ext uri="{FF2B5EF4-FFF2-40B4-BE49-F238E27FC236}">
                <a16:creationId xmlns:a16="http://schemas.microsoft.com/office/drawing/2014/main" id="{00000000-0008-0000-0400-00005F000000}"/>
              </a:ext>
            </a:extLst>
          </xdr:cNvPr>
          <xdr:cNvSpPr>
            <a:spLocks noChangeArrowheads="1"/>
          </xdr:cNvSpPr>
        </xdr:nvSpPr>
        <xdr:spPr>
          <a:xfrm>
            <a:off x="84" y="581"/>
            <a:ext cx="26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96" name="Line 43">
            <a:extLst>
              <a:ext uri="{FF2B5EF4-FFF2-40B4-BE49-F238E27FC236}">
                <a16:creationId xmlns:a16="http://schemas.microsoft.com/office/drawing/2014/main" id="{00000000-0008-0000-0400-000060000000}"/>
              </a:ext>
            </a:extLst>
          </xdr:cNvPr>
          <xdr:cNvSpPr>
            <a:spLocks noChangeShapeType="1"/>
          </xdr:cNvSpPr>
        </xdr:nvSpPr>
        <xdr:spPr>
          <a:xfrm>
            <a:off x="97" y="618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</xdr:grpSp>
    <xdr:clientData fLocksWithSheet="0"/>
  </xdr:oneCellAnchor>
  <xdr:oneCellAnchor>
    <xdr:from>
      <xdr:col>19</xdr:col>
      <xdr:colOff>428625</xdr:colOff>
      <xdr:row>30</xdr:row>
      <xdr:rowOff>85725</xdr:rowOff>
    </xdr:from>
    <xdr:ext cx="1428750" cy="0"/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CxnSpPr>
          <a:stCxn id="96" idx="1"/>
        </xdr:cNvCxnSpPr>
      </xdr:nvCxnSpPr>
      <xdr:spPr>
        <a:xfrm rot="5400000" flipH="1" flipV="1">
          <a:off x="15216505" y="6743700"/>
          <a:ext cx="635" cy="1428750"/>
        </a:xfrm>
        <a:prstGeom prst="line">
          <a:avLst/>
        </a:prstGeom>
        <a:ln w="19050">
          <a:solidFill>
            <a:schemeClr val="tx1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18</xdr:col>
      <xdr:colOff>276225</xdr:colOff>
      <xdr:row>16</xdr:row>
      <xdr:rowOff>28575</xdr:rowOff>
    </xdr:from>
    <xdr:ext cx="19050" cy="2076450"/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CxnSpPr/>
      </xdr:nvCxnSpPr>
      <xdr:spPr>
        <a:xfrm rot="16200000" flipH="1">
          <a:off x="12390755" y="5191125"/>
          <a:ext cx="2076450" cy="19050"/>
        </a:xfrm>
        <a:prstGeom prst="line">
          <a:avLst/>
        </a:prstGeom>
        <a:ln w="1905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18</xdr:col>
      <xdr:colOff>285750</xdr:colOff>
      <xdr:row>25</xdr:row>
      <xdr:rowOff>9525</xdr:rowOff>
    </xdr:from>
    <xdr:ext cx="1152525" cy="0"/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CxnSpPr/>
      </xdr:nvCxnSpPr>
      <xdr:spPr>
        <a:xfrm>
          <a:off x="13428980" y="6238875"/>
          <a:ext cx="1152525" cy="0"/>
        </a:xfrm>
        <a:prstGeom prst="line">
          <a:avLst/>
        </a:prstGeom>
        <a:ln w="1905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21</xdr:col>
      <xdr:colOff>419100</xdr:colOff>
      <xdr:row>30</xdr:row>
      <xdr:rowOff>85725</xdr:rowOff>
    </xdr:from>
    <xdr:ext cx="9525" cy="2219325"/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CxnSpPr/>
      </xdr:nvCxnSpPr>
      <xdr:spPr>
        <a:xfrm rot="5400000">
          <a:off x="14848205" y="8562975"/>
          <a:ext cx="2219325" cy="9525"/>
        </a:xfrm>
        <a:prstGeom prst="line">
          <a:avLst/>
        </a:prstGeom>
        <a:ln w="190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</xdr:col>
      <xdr:colOff>257175</xdr:colOff>
      <xdr:row>39</xdr:row>
      <xdr:rowOff>180975</xdr:rowOff>
    </xdr:from>
    <xdr:ext cx="9525" cy="1571625"/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CxnSpPr/>
      </xdr:nvCxnSpPr>
      <xdr:spPr>
        <a:xfrm rot="16200000" flipH="1">
          <a:off x="659448" y="10065702"/>
          <a:ext cx="1575435" cy="1778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6</xdr:col>
      <xdr:colOff>657225</xdr:colOff>
      <xdr:row>40</xdr:row>
      <xdr:rowOff>0</xdr:rowOff>
    </xdr:from>
    <xdr:ext cx="9525" cy="1724025"/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CxnSpPr/>
      </xdr:nvCxnSpPr>
      <xdr:spPr>
        <a:xfrm>
          <a:off x="3973830" y="9745980"/>
          <a:ext cx="11430" cy="172974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31</xdr:row>
      <xdr:rowOff>9525</xdr:rowOff>
    </xdr:from>
    <xdr:ext cx="0" cy="1362075"/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CxnSpPr/>
      </xdr:nvCxnSpPr>
      <xdr:spPr>
        <a:xfrm rot="16200000" flipH="1">
          <a:off x="6386830" y="8291195"/>
          <a:ext cx="1362075" cy="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23</xdr:col>
      <xdr:colOff>0</xdr:colOff>
      <xdr:row>39</xdr:row>
      <xdr:rowOff>152400</xdr:rowOff>
    </xdr:from>
    <xdr:ext cx="0" cy="1809750"/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CxnSpPr/>
      </xdr:nvCxnSpPr>
      <xdr:spPr>
        <a:xfrm flipH="1">
          <a:off x="16977360" y="9669780"/>
          <a:ext cx="1904" cy="1813563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276225</xdr:colOff>
      <xdr:row>37</xdr:row>
      <xdr:rowOff>0</xdr:rowOff>
    </xdr:from>
    <xdr:ext cx="0" cy="790575"/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CxnSpPr/>
      </xdr:nvCxnSpPr>
      <xdr:spPr>
        <a:xfrm rot="16200000" flipH="1">
          <a:off x="-118745" y="9367520"/>
          <a:ext cx="789940" cy="0"/>
        </a:xfrm>
        <a:prstGeom prst="line">
          <a:avLst/>
        </a:prstGeom>
        <a:ln w="190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7</xdr:col>
      <xdr:colOff>914400</xdr:colOff>
      <xdr:row>39</xdr:row>
      <xdr:rowOff>219075</xdr:rowOff>
    </xdr:from>
    <xdr:ext cx="0" cy="1733550"/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CxnSpPr/>
      </xdr:nvCxnSpPr>
      <xdr:spPr>
        <a:xfrm>
          <a:off x="4914899" y="9736455"/>
          <a:ext cx="4" cy="1739268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17</xdr:col>
      <xdr:colOff>0</xdr:colOff>
      <xdr:row>39</xdr:row>
      <xdr:rowOff>171450</xdr:rowOff>
    </xdr:from>
    <xdr:ext cx="9525" cy="1724025"/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CxnSpPr/>
      </xdr:nvCxnSpPr>
      <xdr:spPr>
        <a:xfrm>
          <a:off x="12115800" y="9688830"/>
          <a:ext cx="15240" cy="172593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28</xdr:col>
      <xdr:colOff>9525</xdr:colOff>
      <xdr:row>39</xdr:row>
      <xdr:rowOff>228600</xdr:rowOff>
    </xdr:from>
    <xdr:ext cx="0" cy="1581150"/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CxnSpPr/>
      </xdr:nvCxnSpPr>
      <xdr:spPr>
        <a:xfrm rot="16200000" flipH="1">
          <a:off x="20489545" y="10553065"/>
          <a:ext cx="1581150" cy="635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29</xdr:col>
      <xdr:colOff>0</xdr:colOff>
      <xdr:row>40</xdr:row>
      <xdr:rowOff>0</xdr:rowOff>
    </xdr:from>
    <xdr:ext cx="0" cy="1704975"/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CxnSpPr/>
      </xdr:nvCxnSpPr>
      <xdr:spPr>
        <a:xfrm>
          <a:off x="22093555" y="9763125"/>
          <a:ext cx="0" cy="1704975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29</xdr:col>
      <xdr:colOff>0</xdr:colOff>
      <xdr:row>40</xdr:row>
      <xdr:rowOff>0</xdr:rowOff>
    </xdr:from>
    <xdr:ext cx="0" cy="1704975"/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/>
      </xdr:nvCxnSpPr>
      <xdr:spPr>
        <a:xfrm>
          <a:off x="22093555" y="9763125"/>
          <a:ext cx="0" cy="1704975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25</xdr:col>
      <xdr:colOff>552450</xdr:colOff>
      <xdr:row>30</xdr:row>
      <xdr:rowOff>219075</xdr:rowOff>
    </xdr:from>
    <xdr:ext cx="9525" cy="1438275"/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CxnSpPr/>
      </xdr:nvCxnSpPr>
      <xdr:spPr>
        <a:xfrm flipH="1">
          <a:off x="19015710" y="7581900"/>
          <a:ext cx="11430" cy="144018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</xdr:col>
      <xdr:colOff>9525</xdr:colOff>
      <xdr:row>31</xdr:row>
      <xdr:rowOff>9525</xdr:rowOff>
    </xdr:from>
    <xdr:ext cx="0" cy="1524000"/>
    <xdr:cxnSp macro="">
      <xdr:nvCxnSpPr>
        <xdr:cNvPr id="175" name="Straight Arrow Connector 319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CxnSpPr/>
      </xdr:nvCxnSpPr>
      <xdr:spPr>
        <a:xfrm rot="5400000">
          <a:off x="430373" y="8382251"/>
          <a:ext cx="1530517" cy="1588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0</xdr:colOff>
      <xdr:row>31</xdr:row>
      <xdr:rowOff>9525</xdr:rowOff>
    </xdr:from>
    <xdr:ext cx="0" cy="1533525"/>
    <xdr:cxnSp macro="">
      <xdr:nvCxnSpPr>
        <xdr:cNvPr id="204" name="Straight Arrow Connector 33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CxnSpPr/>
      </xdr:nvCxnSpPr>
      <xdr:spPr>
        <a:xfrm rot="5400000">
          <a:off x="15260011" y="11311734"/>
          <a:ext cx="1781175" cy="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0</xdr:colOff>
      <xdr:row>31</xdr:row>
      <xdr:rowOff>0</xdr:rowOff>
    </xdr:from>
    <xdr:ext cx="0" cy="1524000"/>
    <xdr:cxnSp macro="">
      <xdr:nvCxnSpPr>
        <xdr:cNvPr id="354" name="Straight Arrow Connector 28">
          <a:extLst>
            <a:ext uri="{FF2B5EF4-FFF2-40B4-BE49-F238E27FC236}">
              <a16:creationId xmlns:a16="http://schemas.microsoft.com/office/drawing/2014/main" id="{00000000-0008-0000-0400-000062010000}"/>
            </a:ext>
          </a:extLst>
        </xdr:cNvPr>
        <xdr:cNvCxnSpPr/>
      </xdr:nvCxnSpPr>
      <xdr:spPr>
        <a:xfrm rot="5400000">
          <a:off x="1813078" y="11298495"/>
          <a:ext cx="1775008" cy="1588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0</xdr:colOff>
      <xdr:row>31</xdr:row>
      <xdr:rowOff>0</xdr:rowOff>
    </xdr:from>
    <xdr:ext cx="0" cy="1524000"/>
    <xdr:cxnSp macro="">
      <xdr:nvCxnSpPr>
        <xdr:cNvPr id="382" name="Straight Arrow Connector 28">
          <a:extLst>
            <a:ext uri="{FF2B5EF4-FFF2-40B4-BE49-F238E27FC236}">
              <a16:creationId xmlns:a16="http://schemas.microsoft.com/office/drawing/2014/main" id="{00000000-0008-0000-0400-00007E010000}"/>
            </a:ext>
          </a:extLst>
        </xdr:cNvPr>
        <xdr:cNvCxnSpPr/>
      </xdr:nvCxnSpPr>
      <xdr:spPr>
        <a:xfrm rot="5400000">
          <a:off x="1813078" y="11298495"/>
          <a:ext cx="1775008" cy="1588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16</xdr:col>
      <xdr:colOff>1238250</xdr:colOff>
      <xdr:row>30</xdr:row>
      <xdr:rowOff>219075</xdr:rowOff>
    </xdr:from>
    <xdr:ext cx="0" cy="1581150"/>
    <xdr:cxnSp macro="">
      <xdr:nvCxnSpPr>
        <xdr:cNvPr id="412" name="Straight Arrow Connector 411">
          <a:extLst>
            <a:ext uri="{FF2B5EF4-FFF2-40B4-BE49-F238E27FC236}">
              <a16:creationId xmlns:a16="http://schemas.microsoft.com/office/drawing/2014/main" id="{00000000-0008-0000-0400-00009C010000}"/>
            </a:ext>
          </a:extLst>
        </xdr:cNvPr>
        <xdr:cNvCxnSpPr/>
      </xdr:nvCxnSpPr>
      <xdr:spPr>
        <a:xfrm rot="5400000">
          <a:off x="10972800" y="8382000"/>
          <a:ext cx="1581150" cy="1588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27</xdr:col>
      <xdr:colOff>0</xdr:colOff>
      <xdr:row>39</xdr:row>
      <xdr:rowOff>209550</xdr:rowOff>
    </xdr:from>
    <xdr:ext cx="0" cy="1752600"/>
    <xdr:cxnSp macro="">
      <xdr:nvCxnSpPr>
        <xdr:cNvPr id="416" name="Straight Arrow Connector 415">
          <a:extLst>
            <a:ext uri="{FF2B5EF4-FFF2-40B4-BE49-F238E27FC236}">
              <a16:creationId xmlns:a16="http://schemas.microsoft.com/office/drawing/2014/main" id="{00000000-0008-0000-0400-0000A0010000}"/>
            </a:ext>
          </a:extLst>
        </xdr:cNvPr>
        <xdr:cNvCxnSpPr/>
      </xdr:nvCxnSpPr>
      <xdr:spPr>
        <a:xfrm flipH="1">
          <a:off x="18505170" y="9747885"/>
          <a:ext cx="1905" cy="1760220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4</xdr:col>
      <xdr:colOff>1714500</xdr:colOff>
      <xdr:row>30</xdr:row>
      <xdr:rowOff>228600</xdr:rowOff>
    </xdr:from>
    <xdr:ext cx="0" cy="1514475"/>
    <xdr:cxnSp macro="">
      <xdr:nvCxnSpPr>
        <xdr:cNvPr id="195" name="Straight Arrow Connector 41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CxnSpPr/>
      </xdr:nvCxnSpPr>
      <xdr:spPr>
        <a:xfrm rot="5400000">
          <a:off x="4472926" y="11291021"/>
          <a:ext cx="1781175" cy="1314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32</xdr:col>
      <xdr:colOff>0</xdr:colOff>
      <xdr:row>40</xdr:row>
      <xdr:rowOff>38100</xdr:rowOff>
    </xdr:from>
    <xdr:ext cx="0" cy="1866900"/>
    <xdr:cxnSp macro="">
      <xdr:nvCxnSpPr>
        <xdr:cNvPr id="312" name="Straight Arrow Connector 430">
          <a:extLst>
            <a:ext uri="{FF2B5EF4-FFF2-40B4-BE49-F238E27FC236}">
              <a16:creationId xmlns:a16="http://schemas.microsoft.com/office/drawing/2014/main" id="{00000000-0008-0000-0400-000038010000}"/>
            </a:ext>
          </a:extLst>
        </xdr:cNvPr>
        <xdr:cNvCxnSpPr/>
      </xdr:nvCxnSpPr>
      <xdr:spPr>
        <a:xfrm>
          <a:off x="31537275" y="13354050"/>
          <a:ext cx="9521" cy="1889122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32</xdr:col>
      <xdr:colOff>0</xdr:colOff>
      <xdr:row>40</xdr:row>
      <xdr:rowOff>0</xdr:rowOff>
    </xdr:from>
    <xdr:ext cx="0" cy="1905000"/>
    <xdr:cxnSp macro="">
      <xdr:nvCxnSpPr>
        <xdr:cNvPr id="313" name="Straight Arrow Connector 431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CxnSpPr/>
      </xdr:nvCxnSpPr>
      <xdr:spPr>
        <a:xfrm>
          <a:off x="31537275" y="13315950"/>
          <a:ext cx="9521" cy="1933572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5</xdr:col>
      <xdr:colOff>0</xdr:colOff>
      <xdr:row>30</xdr:row>
      <xdr:rowOff>228600</xdr:rowOff>
    </xdr:from>
    <xdr:ext cx="0" cy="1514475"/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CxnSpPr/>
      </xdr:nvCxnSpPr>
      <xdr:spPr>
        <a:xfrm rot="5400000">
          <a:off x="4477503" y="11291021"/>
          <a:ext cx="1781175" cy="1314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0</xdr:colOff>
      <xdr:row>31</xdr:row>
      <xdr:rowOff>9525</xdr:rowOff>
    </xdr:from>
    <xdr:ext cx="0" cy="1533525"/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CxnSpPr/>
      </xdr:nvCxnSpPr>
      <xdr:spPr>
        <a:xfrm rot="5400000">
          <a:off x="15261557" y="11310188"/>
          <a:ext cx="1781175" cy="3092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15</xdr:col>
      <xdr:colOff>0</xdr:colOff>
      <xdr:row>31</xdr:row>
      <xdr:rowOff>9525</xdr:rowOff>
    </xdr:from>
    <xdr:ext cx="0" cy="1533525"/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CxnSpPr/>
      </xdr:nvCxnSpPr>
      <xdr:spPr>
        <a:xfrm rot="5400000">
          <a:off x="15261557" y="11310188"/>
          <a:ext cx="1781175" cy="3092"/>
        </a:xfrm>
        <a:prstGeom prst="straightConnector1">
          <a:avLst/>
        </a:prstGeom>
        <a:ln w="19050"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30</xdr:row>
      <xdr:rowOff>0</xdr:rowOff>
    </xdr:from>
    <xdr:ext cx="0" cy="2857500"/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ShapeType="1"/>
        </xdr:cNvSpPr>
      </xdr:nvSpPr>
      <xdr:spPr>
        <a:xfrm>
          <a:off x="450850" y="7705725"/>
          <a:ext cx="0" cy="28575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7</xdr:col>
      <xdr:colOff>0</xdr:colOff>
      <xdr:row>29</xdr:row>
      <xdr:rowOff>219075</xdr:rowOff>
    </xdr:from>
    <xdr:ext cx="0" cy="2847975"/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ShapeType="1"/>
        </xdr:cNvSpPr>
      </xdr:nvSpPr>
      <xdr:spPr>
        <a:xfrm>
          <a:off x="4378960" y="7639050"/>
          <a:ext cx="0" cy="28479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9</xdr:col>
      <xdr:colOff>0</xdr:colOff>
      <xdr:row>30</xdr:row>
      <xdr:rowOff>9525</xdr:rowOff>
    </xdr:from>
    <xdr:ext cx="0" cy="2847975"/>
    <xdr:sp macro="" textlink="">
      <xdr:nvSpPr>
        <xdr:cNvPr id="4" name="Line 6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ShapeType="1"/>
        </xdr:cNvSpPr>
      </xdr:nvSpPr>
      <xdr:spPr>
        <a:xfrm>
          <a:off x="5574030" y="7715250"/>
          <a:ext cx="0" cy="28479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13</xdr:col>
      <xdr:colOff>19050</xdr:colOff>
      <xdr:row>30</xdr:row>
      <xdr:rowOff>0</xdr:rowOff>
    </xdr:from>
    <xdr:ext cx="0" cy="2857500"/>
    <xdr:sp macro="" textlink="">
      <xdr:nvSpPr>
        <xdr:cNvPr id="6" name="Line 8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ShapeType="1"/>
        </xdr:cNvSpPr>
      </xdr:nvSpPr>
      <xdr:spPr>
        <a:xfrm>
          <a:off x="8159750" y="7705725"/>
          <a:ext cx="0" cy="28575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14</xdr:col>
      <xdr:colOff>9525</xdr:colOff>
      <xdr:row>30</xdr:row>
      <xdr:rowOff>9525</xdr:rowOff>
    </xdr:from>
    <xdr:ext cx="0" cy="2847975"/>
    <xdr:sp macro="" textlink="">
      <xdr:nvSpPr>
        <xdr:cNvPr id="7" name="Line 10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ShapeType="1"/>
        </xdr:cNvSpPr>
      </xdr:nvSpPr>
      <xdr:spPr>
        <a:xfrm>
          <a:off x="8816340" y="7715250"/>
          <a:ext cx="0" cy="28479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2</xdr:col>
      <xdr:colOff>238125</xdr:colOff>
      <xdr:row>19</xdr:row>
      <xdr:rowOff>0</xdr:rowOff>
    </xdr:from>
    <xdr:ext cx="323850" cy="3181350"/>
    <xdr:grpSp>
      <xdr:nvGrpSpPr>
        <xdr:cNvPr id="8" name="Group 19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/>
      </xdr:nvGrpSpPr>
      <xdr:grpSpPr>
        <a:xfrm>
          <a:off x="1236345" y="4541520"/>
          <a:ext cx="323850" cy="3181350"/>
          <a:chOff x="119" y="460"/>
          <a:chExt cx="33" cy="275"/>
        </a:xfrm>
      </xdr:grpSpPr>
      <xdr:sp macro="" textlink="">
        <xdr:nvSpPr>
          <xdr:cNvPr id="9" name="Oval 14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>
            <a:spLocks noChangeArrowheads="1"/>
          </xdr:cNvSpPr>
        </xdr:nvSpPr>
        <xdr:spPr>
          <a:xfrm>
            <a:off x="119" y="547"/>
            <a:ext cx="31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10" name="Line 16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>
            <a:spLocks noChangeShapeType="1"/>
          </xdr:cNvSpPr>
        </xdr:nvSpPr>
        <xdr:spPr>
          <a:xfrm>
            <a:off x="134" y="460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11" name="Line 17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>
            <a:spLocks noChangeShapeType="1"/>
          </xdr:cNvSpPr>
        </xdr:nvSpPr>
        <xdr:spPr>
          <a:xfrm>
            <a:off x="135" y="610"/>
            <a:ext cx="0" cy="12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tailEnd type="triangle" w="med" len="med"/>
          </a:ln>
        </xdr:spPr>
      </xdr:sp>
      <xdr:sp macro="" textlink="">
        <xdr:nvSpPr>
          <xdr:cNvPr id="12" name="Oval 18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>
            <a:spLocks noChangeArrowheads="1"/>
          </xdr:cNvSpPr>
        </xdr:nvSpPr>
        <xdr:spPr>
          <a:xfrm>
            <a:off x="119" y="571"/>
            <a:ext cx="33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</xdr:grpSp>
    <xdr:clientData fLocksWithSheet="0"/>
  </xdr:oneCellAnchor>
  <xdr:oneCellAnchor>
    <xdr:from>
      <xdr:col>5</xdr:col>
      <xdr:colOff>0</xdr:colOff>
      <xdr:row>6</xdr:row>
      <xdr:rowOff>38100</xdr:rowOff>
    </xdr:from>
    <xdr:ext cx="0" cy="3543300"/>
    <xdr:sp macro="" textlink="">
      <xdr:nvSpPr>
        <xdr:cNvPr id="13" name="Line 30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ShapeType="1"/>
        </xdr:cNvSpPr>
      </xdr:nvSpPr>
      <xdr:spPr>
        <a:xfrm>
          <a:off x="2900045" y="1009650"/>
          <a:ext cx="0" cy="35433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9</xdr:col>
      <xdr:colOff>0</xdr:colOff>
      <xdr:row>6</xdr:row>
      <xdr:rowOff>28575</xdr:rowOff>
    </xdr:from>
    <xdr:ext cx="0" cy="3533775"/>
    <xdr:sp macro="" textlink="">
      <xdr:nvSpPr>
        <xdr:cNvPr id="14" name="Line 31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ShapeType="1"/>
        </xdr:cNvSpPr>
      </xdr:nvSpPr>
      <xdr:spPr>
        <a:xfrm>
          <a:off x="5574030" y="1000125"/>
          <a:ext cx="0" cy="35337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13</xdr:col>
      <xdr:colOff>0</xdr:colOff>
      <xdr:row>5</xdr:row>
      <xdr:rowOff>285750</xdr:rowOff>
    </xdr:from>
    <xdr:ext cx="0" cy="3457575"/>
    <xdr:sp macro="" textlink="">
      <xdr:nvSpPr>
        <xdr:cNvPr id="15" name="Line 32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ShapeType="1"/>
        </xdr:cNvSpPr>
      </xdr:nvSpPr>
      <xdr:spPr>
        <a:xfrm>
          <a:off x="8140700" y="971550"/>
          <a:ext cx="0" cy="34575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2</xdr:col>
      <xdr:colOff>238125</xdr:colOff>
      <xdr:row>19</xdr:row>
      <xdr:rowOff>0</xdr:rowOff>
    </xdr:from>
    <xdr:ext cx="9544050" cy="0"/>
    <xdr:sp macro="" textlink="">
      <xdr:nvSpPr>
        <xdr:cNvPr id="16" name="Line 33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ShapeType="1"/>
        </xdr:cNvSpPr>
      </xdr:nvSpPr>
      <xdr:spPr>
        <a:xfrm>
          <a:off x="1384300" y="4562475"/>
          <a:ext cx="954405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7</xdr:col>
      <xdr:colOff>657225</xdr:colOff>
      <xdr:row>19</xdr:row>
      <xdr:rowOff>9525</xdr:rowOff>
    </xdr:from>
    <xdr:ext cx="542925" cy="3162300"/>
    <xdr:grpSp>
      <xdr:nvGrpSpPr>
        <xdr:cNvPr id="17" name="Group 34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pSpPr/>
      </xdr:nvGrpSpPr>
      <xdr:grpSpPr>
        <a:xfrm>
          <a:off x="4482465" y="4551045"/>
          <a:ext cx="542925" cy="3162300"/>
          <a:chOff x="119" y="460"/>
          <a:chExt cx="33" cy="275"/>
        </a:xfrm>
      </xdr:grpSpPr>
      <xdr:sp macro="" textlink="">
        <xdr:nvSpPr>
          <xdr:cNvPr id="18" name="Oval 35">
            <a:extLst>
              <a:ext uri="{FF2B5EF4-FFF2-40B4-BE49-F238E27FC236}">
                <a16:creationId xmlns:a16="http://schemas.microsoft.com/office/drawing/2014/main" id="{00000000-0008-0000-0600-000012000000}"/>
              </a:ext>
            </a:extLst>
          </xdr:cNvPr>
          <xdr:cNvSpPr>
            <a:spLocks noChangeArrowheads="1"/>
          </xdr:cNvSpPr>
        </xdr:nvSpPr>
        <xdr:spPr>
          <a:xfrm>
            <a:off x="119" y="547"/>
            <a:ext cx="31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19" name="Line 36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SpPr>
            <a:spLocks noChangeShapeType="1"/>
          </xdr:cNvSpPr>
        </xdr:nvSpPr>
        <xdr:spPr>
          <a:xfrm>
            <a:off x="134" y="460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tailEnd type="triangle" w="med" len="med"/>
          </a:ln>
        </xdr:spPr>
      </xdr:sp>
      <xdr:sp macro="" textlink="">
        <xdr:nvSpPr>
          <xdr:cNvPr id="20" name="Line 37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>
            <a:spLocks noChangeShapeType="1"/>
          </xdr:cNvSpPr>
        </xdr:nvSpPr>
        <xdr:spPr>
          <a:xfrm>
            <a:off x="135" y="610"/>
            <a:ext cx="0" cy="12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tailEnd type="triangle" w="med" len="med"/>
          </a:ln>
        </xdr:spPr>
      </xdr:sp>
      <xdr:sp macro="" textlink="">
        <xdr:nvSpPr>
          <xdr:cNvPr id="21" name="Oval 38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>
            <a:spLocks noChangeArrowheads="1"/>
          </xdr:cNvSpPr>
        </xdr:nvSpPr>
        <xdr:spPr>
          <a:xfrm>
            <a:off x="119" y="571"/>
            <a:ext cx="33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</xdr:grpSp>
    <xdr:clientData fLocksWithSheet="0"/>
  </xdr:oneCellAnchor>
  <xdr:oneCellAnchor>
    <xdr:from>
      <xdr:col>11</xdr:col>
      <xdr:colOff>504825</xdr:colOff>
      <xdr:row>19</xdr:row>
      <xdr:rowOff>0</xdr:rowOff>
    </xdr:from>
    <xdr:ext cx="314325" cy="3143250"/>
    <xdr:grpSp>
      <xdr:nvGrpSpPr>
        <xdr:cNvPr id="22" name="Group 39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pSpPr/>
      </xdr:nvGrpSpPr>
      <xdr:grpSpPr>
        <a:xfrm>
          <a:off x="6280785" y="4541520"/>
          <a:ext cx="314325" cy="3143250"/>
          <a:chOff x="108" y="460"/>
          <a:chExt cx="33" cy="275"/>
        </a:xfrm>
      </xdr:grpSpPr>
      <xdr:sp macro="" textlink="">
        <xdr:nvSpPr>
          <xdr:cNvPr id="23" name="Oval 40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>
            <a:spLocks noChangeArrowheads="1"/>
          </xdr:cNvSpPr>
        </xdr:nvSpPr>
        <xdr:spPr>
          <a:xfrm>
            <a:off x="108" y="547"/>
            <a:ext cx="31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24" name="Line 41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>
            <a:spLocks noChangeShapeType="1"/>
          </xdr:cNvSpPr>
        </xdr:nvSpPr>
        <xdr:spPr>
          <a:xfrm>
            <a:off x="126" y="460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tailEnd type="triangle" w="med" len="med"/>
          </a:ln>
        </xdr:spPr>
      </xdr:sp>
      <xdr:sp macro="" textlink="">
        <xdr:nvSpPr>
          <xdr:cNvPr id="25" name="Line 42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>
            <a:spLocks noChangeShapeType="1"/>
          </xdr:cNvSpPr>
        </xdr:nvSpPr>
        <xdr:spPr>
          <a:xfrm>
            <a:off x="124" y="610"/>
            <a:ext cx="0" cy="12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tailEnd type="triangle" w="med" len="med"/>
          </a:ln>
        </xdr:spPr>
      </xdr:sp>
      <xdr:sp macro="" textlink="">
        <xdr:nvSpPr>
          <xdr:cNvPr id="26" name="Oval 43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>
            <a:spLocks noChangeArrowheads="1"/>
          </xdr:cNvSpPr>
        </xdr:nvSpPr>
        <xdr:spPr>
          <a:xfrm>
            <a:off x="108" y="571"/>
            <a:ext cx="33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</xdr:grpSp>
    <xdr:clientData fLocksWithSheet="0"/>
  </xdr:oneCellAnchor>
  <xdr:oneCellAnchor>
    <xdr:from>
      <xdr:col>6</xdr:col>
      <xdr:colOff>85725</xdr:colOff>
      <xdr:row>40</xdr:row>
      <xdr:rowOff>85725</xdr:rowOff>
    </xdr:from>
    <xdr:ext cx="180975" cy="390525"/>
    <xdr:sp macro="" textlink="">
      <xdr:nvSpPr>
        <xdr:cNvPr id="27" name="Oval 50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>
          <a:spLocks noChangeArrowheads="1"/>
        </xdr:cNvSpPr>
      </xdr:nvSpPr>
      <xdr:spPr>
        <a:xfrm>
          <a:off x="3837940" y="10648950"/>
          <a:ext cx="180975" cy="39052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6</xdr:col>
      <xdr:colOff>171450</xdr:colOff>
      <xdr:row>30</xdr:row>
      <xdr:rowOff>0</xdr:rowOff>
    </xdr:from>
    <xdr:ext cx="0" cy="2962275"/>
    <xdr:sp macro="" textlink="">
      <xdr:nvSpPr>
        <xdr:cNvPr id="28" name="Line 51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>
          <a:spLocks noChangeShapeType="1"/>
        </xdr:cNvSpPr>
      </xdr:nvSpPr>
      <xdr:spPr>
        <a:xfrm>
          <a:off x="3923665" y="7705725"/>
          <a:ext cx="0" cy="2962275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6</xdr:col>
      <xdr:colOff>180975</xdr:colOff>
      <xdr:row>41</xdr:row>
      <xdr:rowOff>104775</xdr:rowOff>
    </xdr:from>
    <xdr:ext cx="0" cy="752475"/>
    <xdr:sp macro="" textlink="">
      <xdr:nvSpPr>
        <xdr:cNvPr id="29" name="Line 52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>
          <a:spLocks noChangeShapeType="1"/>
        </xdr:cNvSpPr>
      </xdr:nvSpPr>
      <xdr:spPr>
        <a:xfrm>
          <a:off x="3933190" y="10953750"/>
          <a:ext cx="0" cy="7524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6</xdr:col>
      <xdr:colOff>95250</xdr:colOff>
      <xdr:row>41</xdr:row>
      <xdr:rowOff>19050</xdr:rowOff>
    </xdr:from>
    <xdr:ext cx="180975" cy="390525"/>
    <xdr:sp macro="" textlink="">
      <xdr:nvSpPr>
        <xdr:cNvPr id="30" name="Oval 54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>
          <a:spLocks noChangeArrowheads="1"/>
        </xdr:cNvSpPr>
      </xdr:nvSpPr>
      <xdr:spPr>
        <a:xfrm>
          <a:off x="3847465" y="10868025"/>
          <a:ext cx="180975" cy="39052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9525</xdr:colOff>
      <xdr:row>30</xdr:row>
      <xdr:rowOff>9525</xdr:rowOff>
    </xdr:from>
    <xdr:ext cx="0" cy="2847975"/>
    <xdr:sp macro="" textlink="">
      <xdr:nvSpPr>
        <xdr:cNvPr id="31" name="Line 1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>
          <a:spLocks noChangeShapeType="1"/>
        </xdr:cNvSpPr>
      </xdr:nvSpPr>
      <xdr:spPr>
        <a:xfrm>
          <a:off x="7346950" y="7715250"/>
          <a:ext cx="0" cy="28479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3</xdr:col>
      <xdr:colOff>9525</xdr:colOff>
      <xdr:row>30</xdr:row>
      <xdr:rowOff>9525</xdr:rowOff>
    </xdr:from>
    <xdr:ext cx="0" cy="2857500"/>
    <xdr:sp macro="" textlink="">
      <xdr:nvSpPr>
        <xdr:cNvPr id="32" name="Line 8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>
          <a:spLocks noChangeShapeType="1"/>
        </xdr:cNvSpPr>
      </xdr:nvSpPr>
      <xdr:spPr>
        <a:xfrm>
          <a:off x="1606550" y="7715250"/>
          <a:ext cx="0" cy="28575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0</xdr:col>
      <xdr:colOff>57150</xdr:colOff>
      <xdr:row>30</xdr:row>
      <xdr:rowOff>0</xdr:rowOff>
    </xdr:from>
    <xdr:ext cx="3543300" cy="0"/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CxnSpPr/>
      </xdr:nvCxnSpPr>
      <xdr:spPr>
        <a:xfrm>
          <a:off x="57150" y="7705725"/>
          <a:ext cx="3543300" cy="0"/>
        </a:xfrm>
        <a:prstGeom prst="line">
          <a:avLst/>
        </a:prstGeom>
        <a:ln w="19050">
          <a:solidFill>
            <a:schemeClr val="dk1">
              <a:shade val="95000"/>
              <a:satMod val="105000"/>
            </a:schemeClr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6</xdr:col>
      <xdr:colOff>161925</xdr:colOff>
      <xdr:row>29</xdr:row>
      <xdr:rowOff>209550</xdr:rowOff>
    </xdr:from>
    <xdr:ext cx="7096125" cy="0"/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CxnSpPr/>
      </xdr:nvCxnSpPr>
      <xdr:spPr>
        <a:xfrm flipV="1">
          <a:off x="3914140" y="7629525"/>
          <a:ext cx="7096125" cy="0"/>
        </a:xfrm>
        <a:prstGeom prst="line">
          <a:avLst/>
        </a:prstGeom>
        <a:ln w="1905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704850</xdr:colOff>
      <xdr:row>40</xdr:row>
      <xdr:rowOff>66675</xdr:rowOff>
    </xdr:from>
    <xdr:ext cx="323850" cy="381000"/>
    <xdr:sp macro="" textlink="">
      <xdr:nvSpPr>
        <xdr:cNvPr id="35" name="Oval 50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>
          <a:spLocks noChangeArrowheads="1"/>
        </xdr:cNvSpPr>
      </xdr:nvSpPr>
      <xdr:spPr>
        <a:xfrm>
          <a:off x="2301875" y="10629900"/>
          <a:ext cx="323850" cy="3810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4</xdr:col>
      <xdr:colOff>9525</xdr:colOff>
      <xdr:row>29</xdr:row>
      <xdr:rowOff>219075</xdr:rowOff>
    </xdr:from>
    <xdr:ext cx="0" cy="3009900"/>
    <xdr:sp macro="" textlink="">
      <xdr:nvSpPr>
        <xdr:cNvPr id="36" name="Line 51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>
          <a:spLocks noChangeShapeType="1"/>
        </xdr:cNvSpPr>
      </xdr:nvSpPr>
      <xdr:spPr>
        <a:xfrm>
          <a:off x="2498090" y="7639050"/>
          <a:ext cx="0" cy="300990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4</xdr:col>
      <xdr:colOff>19050</xdr:colOff>
      <xdr:row>41</xdr:row>
      <xdr:rowOff>85725</xdr:rowOff>
    </xdr:from>
    <xdr:ext cx="0" cy="704850"/>
    <xdr:sp macro="" textlink="">
      <xdr:nvSpPr>
        <xdr:cNvPr id="37" name="Line 52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>
          <a:spLocks noChangeShapeType="1"/>
        </xdr:cNvSpPr>
      </xdr:nvSpPr>
      <xdr:spPr>
        <a:xfrm>
          <a:off x="2507615" y="10934700"/>
          <a:ext cx="0" cy="7048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3</xdr:col>
      <xdr:colOff>695325</xdr:colOff>
      <xdr:row>41</xdr:row>
      <xdr:rowOff>0</xdr:rowOff>
    </xdr:from>
    <xdr:ext cx="323850" cy="390525"/>
    <xdr:sp macro="" textlink="">
      <xdr:nvSpPr>
        <xdr:cNvPr id="38" name="Oval 54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>
          <a:spLocks noChangeArrowheads="1"/>
        </xdr:cNvSpPr>
      </xdr:nvSpPr>
      <xdr:spPr>
        <a:xfrm>
          <a:off x="2292350" y="10848975"/>
          <a:ext cx="323850" cy="39052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5</xdr:col>
      <xdr:colOff>0</xdr:colOff>
      <xdr:row>30</xdr:row>
      <xdr:rowOff>9525</xdr:rowOff>
    </xdr:from>
    <xdr:ext cx="0" cy="2876550"/>
    <xdr:sp macro="" textlink="">
      <xdr:nvSpPr>
        <xdr:cNvPr id="39" name="Line 4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>
          <a:spLocks noChangeShapeType="1"/>
        </xdr:cNvSpPr>
      </xdr:nvSpPr>
      <xdr:spPr>
        <a:xfrm>
          <a:off x="2900045" y="7715250"/>
          <a:ext cx="0" cy="28765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15</xdr:col>
      <xdr:colOff>9525</xdr:colOff>
      <xdr:row>30</xdr:row>
      <xdr:rowOff>9525</xdr:rowOff>
    </xdr:from>
    <xdr:ext cx="0" cy="2847975"/>
    <xdr:sp macro="" textlink="">
      <xdr:nvSpPr>
        <xdr:cNvPr id="40" name="Line 10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>
          <a:spLocks noChangeShapeType="1"/>
        </xdr:cNvSpPr>
      </xdr:nvSpPr>
      <xdr:spPr>
        <a:xfrm>
          <a:off x="9766935" y="7715250"/>
          <a:ext cx="0" cy="28479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1</xdr:col>
      <xdr:colOff>0</xdr:colOff>
      <xdr:row>30</xdr:row>
      <xdr:rowOff>0</xdr:rowOff>
    </xdr:from>
    <xdr:ext cx="0" cy="2857500"/>
    <xdr:sp macro="" textlink="">
      <xdr:nvSpPr>
        <xdr:cNvPr id="41" name="Line 3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>
          <a:spLocks noChangeShapeType="1"/>
        </xdr:cNvSpPr>
      </xdr:nvSpPr>
      <xdr:spPr>
        <a:xfrm>
          <a:off x="450850" y="7705725"/>
          <a:ext cx="0" cy="28575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7</xdr:col>
      <xdr:colOff>0</xdr:colOff>
      <xdr:row>29</xdr:row>
      <xdr:rowOff>219075</xdr:rowOff>
    </xdr:from>
    <xdr:ext cx="0" cy="2847975"/>
    <xdr:sp macro="" textlink="">
      <xdr:nvSpPr>
        <xdr:cNvPr id="42" name="Line 4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>
          <a:spLocks noChangeShapeType="1"/>
        </xdr:cNvSpPr>
      </xdr:nvSpPr>
      <xdr:spPr>
        <a:xfrm>
          <a:off x="4378960" y="7639050"/>
          <a:ext cx="0" cy="28479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9</xdr:col>
      <xdr:colOff>0</xdr:colOff>
      <xdr:row>30</xdr:row>
      <xdr:rowOff>9525</xdr:rowOff>
    </xdr:from>
    <xdr:ext cx="0" cy="2847975"/>
    <xdr:sp macro="" textlink="">
      <xdr:nvSpPr>
        <xdr:cNvPr id="43" name="Line 6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>
          <a:spLocks noChangeShapeType="1"/>
        </xdr:cNvSpPr>
      </xdr:nvSpPr>
      <xdr:spPr>
        <a:xfrm>
          <a:off x="5574030" y="7715250"/>
          <a:ext cx="0" cy="28479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11</xdr:col>
      <xdr:colOff>0</xdr:colOff>
      <xdr:row>29</xdr:row>
      <xdr:rowOff>200025</xdr:rowOff>
    </xdr:from>
    <xdr:ext cx="0" cy="2924175"/>
    <xdr:sp macro="" textlink="">
      <xdr:nvSpPr>
        <xdr:cNvPr id="44" name="Line 7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>
          <a:spLocks noChangeShapeType="1"/>
        </xdr:cNvSpPr>
      </xdr:nvSpPr>
      <xdr:spPr>
        <a:xfrm flipH="1">
          <a:off x="6419850" y="7658100"/>
          <a:ext cx="2540" cy="2924176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13</xdr:col>
      <xdr:colOff>19050</xdr:colOff>
      <xdr:row>30</xdr:row>
      <xdr:rowOff>0</xdr:rowOff>
    </xdr:from>
    <xdr:ext cx="0" cy="2857500"/>
    <xdr:sp macro="" textlink="">
      <xdr:nvSpPr>
        <xdr:cNvPr id="45" name="Line 8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>
          <a:spLocks noChangeShapeType="1"/>
        </xdr:cNvSpPr>
      </xdr:nvSpPr>
      <xdr:spPr>
        <a:xfrm>
          <a:off x="8159750" y="7705725"/>
          <a:ext cx="0" cy="28575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14</xdr:col>
      <xdr:colOff>9525</xdr:colOff>
      <xdr:row>30</xdr:row>
      <xdr:rowOff>9525</xdr:rowOff>
    </xdr:from>
    <xdr:ext cx="0" cy="2847975"/>
    <xdr:sp macro="" textlink="">
      <xdr:nvSpPr>
        <xdr:cNvPr id="46" name="Line 10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>
          <a:spLocks noChangeShapeType="1"/>
        </xdr:cNvSpPr>
      </xdr:nvSpPr>
      <xdr:spPr>
        <a:xfrm>
          <a:off x="8816340" y="7715250"/>
          <a:ext cx="0" cy="28479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2</xdr:col>
      <xdr:colOff>238125</xdr:colOff>
      <xdr:row>19</xdr:row>
      <xdr:rowOff>0</xdr:rowOff>
    </xdr:from>
    <xdr:ext cx="323850" cy="3181350"/>
    <xdr:grpSp>
      <xdr:nvGrpSpPr>
        <xdr:cNvPr id="47" name="Group 19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GrpSpPr/>
      </xdr:nvGrpSpPr>
      <xdr:grpSpPr>
        <a:xfrm>
          <a:off x="1236345" y="4541520"/>
          <a:ext cx="323850" cy="3181350"/>
          <a:chOff x="119" y="460"/>
          <a:chExt cx="33" cy="275"/>
        </a:xfrm>
      </xdr:grpSpPr>
      <xdr:sp macro="" textlink="">
        <xdr:nvSpPr>
          <xdr:cNvPr id="48" name="Oval 14">
            <a:extLst>
              <a:ext uri="{FF2B5EF4-FFF2-40B4-BE49-F238E27FC236}">
                <a16:creationId xmlns:a16="http://schemas.microsoft.com/office/drawing/2014/main" id="{00000000-0008-0000-0600-000030000000}"/>
              </a:ext>
            </a:extLst>
          </xdr:cNvPr>
          <xdr:cNvSpPr>
            <a:spLocks noChangeArrowheads="1"/>
          </xdr:cNvSpPr>
        </xdr:nvSpPr>
        <xdr:spPr>
          <a:xfrm>
            <a:off x="119" y="547"/>
            <a:ext cx="31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49" name="Line 16">
            <a:extLst>
              <a:ext uri="{FF2B5EF4-FFF2-40B4-BE49-F238E27FC236}">
                <a16:creationId xmlns:a16="http://schemas.microsoft.com/office/drawing/2014/main" id="{00000000-0008-0000-0600-000031000000}"/>
              </a:ext>
            </a:extLst>
          </xdr:cNvPr>
          <xdr:cNvSpPr>
            <a:spLocks noChangeShapeType="1"/>
          </xdr:cNvSpPr>
        </xdr:nvSpPr>
        <xdr:spPr>
          <a:xfrm>
            <a:off x="134" y="460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50" name="Line 17">
            <a:extLst>
              <a:ext uri="{FF2B5EF4-FFF2-40B4-BE49-F238E27FC236}">
                <a16:creationId xmlns:a16="http://schemas.microsoft.com/office/drawing/2014/main" id="{00000000-0008-0000-0600-000032000000}"/>
              </a:ext>
            </a:extLst>
          </xdr:cNvPr>
          <xdr:cNvSpPr>
            <a:spLocks noChangeShapeType="1"/>
          </xdr:cNvSpPr>
        </xdr:nvSpPr>
        <xdr:spPr>
          <a:xfrm>
            <a:off x="135" y="610"/>
            <a:ext cx="0" cy="12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tailEnd type="triangle" w="med" len="med"/>
          </a:ln>
        </xdr:spPr>
      </xdr:sp>
      <xdr:sp macro="" textlink="">
        <xdr:nvSpPr>
          <xdr:cNvPr id="51" name="Oval 18">
            <a:extLst>
              <a:ext uri="{FF2B5EF4-FFF2-40B4-BE49-F238E27FC236}">
                <a16:creationId xmlns:a16="http://schemas.microsoft.com/office/drawing/2014/main" id="{00000000-0008-0000-0600-000033000000}"/>
              </a:ext>
            </a:extLst>
          </xdr:cNvPr>
          <xdr:cNvSpPr>
            <a:spLocks noChangeArrowheads="1"/>
          </xdr:cNvSpPr>
        </xdr:nvSpPr>
        <xdr:spPr>
          <a:xfrm>
            <a:off x="119" y="571"/>
            <a:ext cx="33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</xdr:grpSp>
    <xdr:clientData fLocksWithSheet="0"/>
  </xdr:oneCellAnchor>
  <xdr:oneCellAnchor>
    <xdr:from>
      <xdr:col>5</xdr:col>
      <xdr:colOff>0</xdr:colOff>
      <xdr:row>6</xdr:row>
      <xdr:rowOff>38100</xdr:rowOff>
    </xdr:from>
    <xdr:ext cx="0" cy="3543300"/>
    <xdr:sp macro="" textlink="">
      <xdr:nvSpPr>
        <xdr:cNvPr id="52" name="Line 30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ShapeType="1"/>
        </xdr:cNvSpPr>
      </xdr:nvSpPr>
      <xdr:spPr>
        <a:xfrm>
          <a:off x="2900045" y="1009650"/>
          <a:ext cx="0" cy="35433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9</xdr:col>
      <xdr:colOff>0</xdr:colOff>
      <xdr:row>6</xdr:row>
      <xdr:rowOff>28575</xdr:rowOff>
    </xdr:from>
    <xdr:ext cx="0" cy="3533775"/>
    <xdr:sp macro="" textlink="">
      <xdr:nvSpPr>
        <xdr:cNvPr id="53" name="Line 31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ShapeType="1"/>
        </xdr:cNvSpPr>
      </xdr:nvSpPr>
      <xdr:spPr>
        <a:xfrm>
          <a:off x="5574030" y="1000125"/>
          <a:ext cx="0" cy="35337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13</xdr:col>
      <xdr:colOff>0</xdr:colOff>
      <xdr:row>5</xdr:row>
      <xdr:rowOff>285750</xdr:rowOff>
    </xdr:from>
    <xdr:ext cx="0" cy="3457575"/>
    <xdr:sp macro="" textlink="">
      <xdr:nvSpPr>
        <xdr:cNvPr id="54" name="Line 32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ShapeType="1"/>
        </xdr:cNvSpPr>
      </xdr:nvSpPr>
      <xdr:spPr>
        <a:xfrm>
          <a:off x="8140700" y="971550"/>
          <a:ext cx="0" cy="34575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2</xdr:col>
      <xdr:colOff>238125</xdr:colOff>
      <xdr:row>19</xdr:row>
      <xdr:rowOff>0</xdr:rowOff>
    </xdr:from>
    <xdr:ext cx="9544050" cy="0"/>
    <xdr:sp macro="" textlink="">
      <xdr:nvSpPr>
        <xdr:cNvPr id="55" name="Line 33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ShapeType="1"/>
        </xdr:cNvSpPr>
      </xdr:nvSpPr>
      <xdr:spPr>
        <a:xfrm>
          <a:off x="1384300" y="4562475"/>
          <a:ext cx="954405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7</xdr:col>
      <xdr:colOff>657225</xdr:colOff>
      <xdr:row>19</xdr:row>
      <xdr:rowOff>9525</xdr:rowOff>
    </xdr:from>
    <xdr:ext cx="504825" cy="3162300"/>
    <xdr:grpSp>
      <xdr:nvGrpSpPr>
        <xdr:cNvPr id="56" name="Group 34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GrpSpPr/>
      </xdr:nvGrpSpPr>
      <xdr:grpSpPr>
        <a:xfrm>
          <a:off x="4482465" y="4551045"/>
          <a:ext cx="504825" cy="3162300"/>
          <a:chOff x="119" y="460"/>
          <a:chExt cx="33" cy="275"/>
        </a:xfrm>
      </xdr:grpSpPr>
      <xdr:sp macro="" textlink="">
        <xdr:nvSpPr>
          <xdr:cNvPr id="57" name="Oval 35">
            <a:extLst>
              <a:ext uri="{FF2B5EF4-FFF2-40B4-BE49-F238E27FC236}">
                <a16:creationId xmlns:a16="http://schemas.microsoft.com/office/drawing/2014/main" id="{00000000-0008-0000-0600-000039000000}"/>
              </a:ext>
            </a:extLst>
          </xdr:cNvPr>
          <xdr:cNvSpPr>
            <a:spLocks noChangeArrowheads="1"/>
          </xdr:cNvSpPr>
        </xdr:nvSpPr>
        <xdr:spPr>
          <a:xfrm>
            <a:off x="119" y="547"/>
            <a:ext cx="31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58" name="Line 36">
            <a:extLst>
              <a:ext uri="{FF2B5EF4-FFF2-40B4-BE49-F238E27FC236}">
                <a16:creationId xmlns:a16="http://schemas.microsoft.com/office/drawing/2014/main" id="{00000000-0008-0000-0600-00003A000000}"/>
              </a:ext>
            </a:extLst>
          </xdr:cNvPr>
          <xdr:cNvSpPr>
            <a:spLocks noChangeShapeType="1"/>
          </xdr:cNvSpPr>
        </xdr:nvSpPr>
        <xdr:spPr>
          <a:xfrm>
            <a:off x="134" y="460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tailEnd type="triangle" w="med" len="med"/>
          </a:ln>
        </xdr:spPr>
      </xdr:sp>
      <xdr:sp macro="" textlink="">
        <xdr:nvSpPr>
          <xdr:cNvPr id="59" name="Line 37">
            <a:extLst>
              <a:ext uri="{FF2B5EF4-FFF2-40B4-BE49-F238E27FC236}">
                <a16:creationId xmlns:a16="http://schemas.microsoft.com/office/drawing/2014/main" id="{00000000-0008-0000-0600-00003B000000}"/>
              </a:ext>
            </a:extLst>
          </xdr:cNvPr>
          <xdr:cNvSpPr>
            <a:spLocks noChangeShapeType="1"/>
          </xdr:cNvSpPr>
        </xdr:nvSpPr>
        <xdr:spPr>
          <a:xfrm>
            <a:off x="135" y="610"/>
            <a:ext cx="0" cy="12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tailEnd type="triangle" w="med" len="med"/>
          </a:ln>
        </xdr:spPr>
      </xdr:sp>
      <xdr:sp macro="" textlink="">
        <xdr:nvSpPr>
          <xdr:cNvPr id="60" name="Oval 38">
            <a:extLst>
              <a:ext uri="{FF2B5EF4-FFF2-40B4-BE49-F238E27FC236}">
                <a16:creationId xmlns:a16="http://schemas.microsoft.com/office/drawing/2014/main" id="{00000000-0008-0000-0600-00003C000000}"/>
              </a:ext>
            </a:extLst>
          </xdr:cNvPr>
          <xdr:cNvSpPr>
            <a:spLocks noChangeArrowheads="1"/>
          </xdr:cNvSpPr>
        </xdr:nvSpPr>
        <xdr:spPr>
          <a:xfrm>
            <a:off x="119" y="571"/>
            <a:ext cx="33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</xdr:grpSp>
    <xdr:clientData fLocksWithSheet="0"/>
  </xdr:oneCellAnchor>
  <xdr:oneCellAnchor>
    <xdr:from>
      <xdr:col>11</xdr:col>
      <xdr:colOff>504825</xdr:colOff>
      <xdr:row>19</xdr:row>
      <xdr:rowOff>0</xdr:rowOff>
    </xdr:from>
    <xdr:ext cx="314325" cy="3143250"/>
    <xdr:grpSp>
      <xdr:nvGrpSpPr>
        <xdr:cNvPr id="61" name="Group 39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GrpSpPr/>
      </xdr:nvGrpSpPr>
      <xdr:grpSpPr>
        <a:xfrm>
          <a:off x="6280785" y="4541520"/>
          <a:ext cx="314325" cy="3143250"/>
          <a:chOff x="108" y="460"/>
          <a:chExt cx="33" cy="275"/>
        </a:xfrm>
      </xdr:grpSpPr>
      <xdr:sp macro="" textlink="">
        <xdr:nvSpPr>
          <xdr:cNvPr id="62" name="Oval 40">
            <a:extLst>
              <a:ext uri="{FF2B5EF4-FFF2-40B4-BE49-F238E27FC236}">
                <a16:creationId xmlns:a16="http://schemas.microsoft.com/office/drawing/2014/main" id="{00000000-0008-0000-0600-00003E000000}"/>
              </a:ext>
            </a:extLst>
          </xdr:cNvPr>
          <xdr:cNvSpPr>
            <a:spLocks noChangeArrowheads="1"/>
          </xdr:cNvSpPr>
        </xdr:nvSpPr>
        <xdr:spPr>
          <a:xfrm>
            <a:off x="108" y="547"/>
            <a:ext cx="31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  <xdr:sp macro="" textlink="">
        <xdr:nvSpPr>
          <xdr:cNvPr id="63" name="Line 41">
            <a:extLst>
              <a:ext uri="{FF2B5EF4-FFF2-40B4-BE49-F238E27FC236}">
                <a16:creationId xmlns:a16="http://schemas.microsoft.com/office/drawing/2014/main" id="{00000000-0008-0000-0600-00003F000000}"/>
              </a:ext>
            </a:extLst>
          </xdr:cNvPr>
          <xdr:cNvSpPr>
            <a:spLocks noChangeShapeType="1"/>
          </xdr:cNvSpPr>
        </xdr:nvSpPr>
        <xdr:spPr>
          <a:xfrm>
            <a:off x="126" y="460"/>
            <a:ext cx="0" cy="8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tailEnd type="triangle" w="med" len="med"/>
          </a:ln>
        </xdr:spPr>
      </xdr:sp>
      <xdr:sp macro="" textlink="">
        <xdr:nvSpPr>
          <xdr:cNvPr id="64" name="Line 42">
            <a:extLst>
              <a:ext uri="{FF2B5EF4-FFF2-40B4-BE49-F238E27FC236}">
                <a16:creationId xmlns:a16="http://schemas.microsoft.com/office/drawing/2014/main" id="{00000000-0008-0000-0600-000040000000}"/>
              </a:ext>
            </a:extLst>
          </xdr:cNvPr>
          <xdr:cNvSpPr>
            <a:spLocks noChangeShapeType="1"/>
          </xdr:cNvSpPr>
        </xdr:nvSpPr>
        <xdr:spPr>
          <a:xfrm>
            <a:off x="124" y="610"/>
            <a:ext cx="0" cy="12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tailEnd type="triangle" w="med" len="med"/>
          </a:ln>
        </xdr:spPr>
      </xdr:sp>
      <xdr:sp macro="" textlink="">
        <xdr:nvSpPr>
          <xdr:cNvPr id="65" name="Oval 43">
            <a:extLst>
              <a:ext uri="{FF2B5EF4-FFF2-40B4-BE49-F238E27FC236}">
                <a16:creationId xmlns:a16="http://schemas.microsoft.com/office/drawing/2014/main" id="{00000000-0008-0000-0600-000041000000}"/>
              </a:ext>
            </a:extLst>
          </xdr:cNvPr>
          <xdr:cNvSpPr>
            <a:spLocks noChangeArrowheads="1"/>
          </xdr:cNvSpPr>
        </xdr:nvSpPr>
        <xdr:spPr>
          <a:xfrm>
            <a:off x="108" y="571"/>
            <a:ext cx="33" cy="38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</a:ln>
        </xdr:spPr>
      </xdr:sp>
    </xdr:grpSp>
    <xdr:clientData fLocksWithSheet="0"/>
  </xdr:oneCellAnchor>
  <xdr:oneCellAnchor>
    <xdr:from>
      <xdr:col>6</xdr:col>
      <xdr:colOff>85725</xdr:colOff>
      <xdr:row>40</xdr:row>
      <xdr:rowOff>85725</xdr:rowOff>
    </xdr:from>
    <xdr:ext cx="180975" cy="390525"/>
    <xdr:sp macro="" textlink="">
      <xdr:nvSpPr>
        <xdr:cNvPr id="66" name="Oval 50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>
          <a:spLocks noChangeArrowheads="1"/>
        </xdr:cNvSpPr>
      </xdr:nvSpPr>
      <xdr:spPr>
        <a:xfrm>
          <a:off x="3837940" y="10648950"/>
          <a:ext cx="180975" cy="39052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6</xdr:col>
      <xdr:colOff>171450</xdr:colOff>
      <xdr:row>30</xdr:row>
      <xdr:rowOff>0</xdr:rowOff>
    </xdr:from>
    <xdr:ext cx="0" cy="2962275"/>
    <xdr:sp macro="" textlink="">
      <xdr:nvSpPr>
        <xdr:cNvPr id="67" name="Line 51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>
          <a:spLocks noChangeShapeType="1"/>
        </xdr:cNvSpPr>
      </xdr:nvSpPr>
      <xdr:spPr>
        <a:xfrm>
          <a:off x="3923665" y="7705725"/>
          <a:ext cx="0" cy="2962275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6</xdr:col>
      <xdr:colOff>180975</xdr:colOff>
      <xdr:row>41</xdr:row>
      <xdr:rowOff>104775</xdr:rowOff>
    </xdr:from>
    <xdr:ext cx="0" cy="752475"/>
    <xdr:sp macro="" textlink="">
      <xdr:nvSpPr>
        <xdr:cNvPr id="68" name="Line 52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>
          <a:spLocks noChangeShapeType="1"/>
        </xdr:cNvSpPr>
      </xdr:nvSpPr>
      <xdr:spPr>
        <a:xfrm>
          <a:off x="3933190" y="10953750"/>
          <a:ext cx="0" cy="7524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6</xdr:col>
      <xdr:colOff>95250</xdr:colOff>
      <xdr:row>41</xdr:row>
      <xdr:rowOff>19050</xdr:rowOff>
    </xdr:from>
    <xdr:ext cx="180975" cy="390525"/>
    <xdr:sp macro="" textlink="">
      <xdr:nvSpPr>
        <xdr:cNvPr id="69" name="Oval 54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>
          <a:spLocks noChangeArrowheads="1"/>
        </xdr:cNvSpPr>
      </xdr:nvSpPr>
      <xdr:spPr>
        <a:xfrm>
          <a:off x="3847465" y="10868025"/>
          <a:ext cx="180975" cy="39052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9525</xdr:colOff>
      <xdr:row>30</xdr:row>
      <xdr:rowOff>9525</xdr:rowOff>
    </xdr:from>
    <xdr:ext cx="0" cy="2847975"/>
    <xdr:sp macro="" textlink="">
      <xdr:nvSpPr>
        <xdr:cNvPr id="70" name="Line 10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>
          <a:spLocks noChangeShapeType="1"/>
        </xdr:cNvSpPr>
      </xdr:nvSpPr>
      <xdr:spPr>
        <a:xfrm>
          <a:off x="7346950" y="7715250"/>
          <a:ext cx="0" cy="28479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3</xdr:col>
      <xdr:colOff>9525</xdr:colOff>
      <xdr:row>30</xdr:row>
      <xdr:rowOff>9525</xdr:rowOff>
    </xdr:from>
    <xdr:ext cx="0" cy="2857500"/>
    <xdr:sp macro="" textlink="">
      <xdr:nvSpPr>
        <xdr:cNvPr id="71" name="Line 8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>
          <a:spLocks noChangeShapeType="1"/>
        </xdr:cNvSpPr>
      </xdr:nvSpPr>
      <xdr:spPr>
        <a:xfrm>
          <a:off x="1606550" y="7715250"/>
          <a:ext cx="0" cy="285750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0</xdr:col>
      <xdr:colOff>57150</xdr:colOff>
      <xdr:row>30</xdr:row>
      <xdr:rowOff>0</xdr:rowOff>
    </xdr:from>
    <xdr:ext cx="3543300" cy="0"/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CxnSpPr/>
      </xdr:nvCxnSpPr>
      <xdr:spPr>
        <a:xfrm>
          <a:off x="57150" y="7705725"/>
          <a:ext cx="3543300" cy="0"/>
        </a:xfrm>
        <a:prstGeom prst="line">
          <a:avLst/>
        </a:prstGeom>
        <a:ln w="19050">
          <a:solidFill>
            <a:schemeClr val="dk1">
              <a:shade val="95000"/>
              <a:satMod val="105000"/>
            </a:schemeClr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6</xdr:col>
      <xdr:colOff>161925</xdr:colOff>
      <xdr:row>29</xdr:row>
      <xdr:rowOff>209550</xdr:rowOff>
    </xdr:from>
    <xdr:ext cx="7096125" cy="0"/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CxnSpPr/>
      </xdr:nvCxnSpPr>
      <xdr:spPr>
        <a:xfrm flipV="1">
          <a:off x="3914140" y="7629525"/>
          <a:ext cx="7096125" cy="0"/>
        </a:xfrm>
        <a:prstGeom prst="line">
          <a:avLst/>
        </a:prstGeom>
        <a:ln w="1905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704850</xdr:colOff>
      <xdr:row>40</xdr:row>
      <xdr:rowOff>66675</xdr:rowOff>
    </xdr:from>
    <xdr:ext cx="323850" cy="381000"/>
    <xdr:sp macro="" textlink="">
      <xdr:nvSpPr>
        <xdr:cNvPr id="74" name="Oval 50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>
          <a:spLocks noChangeArrowheads="1"/>
        </xdr:cNvSpPr>
      </xdr:nvSpPr>
      <xdr:spPr>
        <a:xfrm>
          <a:off x="2301875" y="10629900"/>
          <a:ext cx="323850" cy="3810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4</xdr:col>
      <xdr:colOff>9525</xdr:colOff>
      <xdr:row>29</xdr:row>
      <xdr:rowOff>219075</xdr:rowOff>
    </xdr:from>
    <xdr:ext cx="0" cy="3009900"/>
    <xdr:sp macro="" textlink="">
      <xdr:nvSpPr>
        <xdr:cNvPr id="75" name="Line 51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>
          <a:spLocks noChangeShapeType="1"/>
        </xdr:cNvSpPr>
      </xdr:nvSpPr>
      <xdr:spPr>
        <a:xfrm>
          <a:off x="2498090" y="7639050"/>
          <a:ext cx="0" cy="300990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4</xdr:col>
      <xdr:colOff>19050</xdr:colOff>
      <xdr:row>41</xdr:row>
      <xdr:rowOff>85725</xdr:rowOff>
    </xdr:from>
    <xdr:ext cx="0" cy="704850"/>
    <xdr:sp macro="" textlink="">
      <xdr:nvSpPr>
        <xdr:cNvPr id="76" name="Line 52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>
          <a:spLocks noChangeShapeType="1"/>
        </xdr:cNvSpPr>
      </xdr:nvSpPr>
      <xdr:spPr>
        <a:xfrm>
          <a:off x="2507615" y="10934700"/>
          <a:ext cx="0" cy="7048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3</xdr:col>
      <xdr:colOff>695325</xdr:colOff>
      <xdr:row>41</xdr:row>
      <xdr:rowOff>0</xdr:rowOff>
    </xdr:from>
    <xdr:ext cx="323850" cy="390525"/>
    <xdr:sp macro="" textlink="">
      <xdr:nvSpPr>
        <xdr:cNvPr id="77" name="Oval 54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>
          <a:spLocks noChangeArrowheads="1"/>
        </xdr:cNvSpPr>
      </xdr:nvSpPr>
      <xdr:spPr>
        <a:xfrm>
          <a:off x="2292350" y="10848975"/>
          <a:ext cx="323850" cy="39052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</a:ln>
      </xdr:spPr>
    </xdr:sp>
    <xdr:clientData fLocksWithSheet="0"/>
  </xdr:oneCellAnchor>
  <xdr:oneCellAnchor>
    <xdr:from>
      <xdr:col>5</xdr:col>
      <xdr:colOff>0</xdr:colOff>
      <xdr:row>30</xdr:row>
      <xdr:rowOff>9525</xdr:rowOff>
    </xdr:from>
    <xdr:ext cx="0" cy="2876550"/>
    <xdr:sp macro="" textlink="">
      <xdr:nvSpPr>
        <xdr:cNvPr id="78" name="Line 4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>
          <a:spLocks noChangeShapeType="1"/>
        </xdr:cNvSpPr>
      </xdr:nvSpPr>
      <xdr:spPr>
        <a:xfrm>
          <a:off x="2900045" y="7715250"/>
          <a:ext cx="0" cy="2876550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  <xdr:oneCellAnchor>
    <xdr:from>
      <xdr:col>15</xdr:col>
      <xdr:colOff>9525</xdr:colOff>
      <xdr:row>30</xdr:row>
      <xdr:rowOff>9525</xdr:rowOff>
    </xdr:from>
    <xdr:ext cx="0" cy="2847975"/>
    <xdr:sp macro="" textlink="">
      <xdr:nvSpPr>
        <xdr:cNvPr id="79" name="Line 10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>
          <a:spLocks noChangeShapeType="1"/>
        </xdr:cNvSpPr>
      </xdr:nvSpPr>
      <xdr:spPr>
        <a:xfrm>
          <a:off x="9766935" y="7715250"/>
          <a:ext cx="0" cy="2847975"/>
        </a:xfrm>
        <a:prstGeom prst="line">
          <a:avLst/>
        </a:prstGeom>
        <a:noFill/>
        <a:ln w="19050">
          <a:solidFill>
            <a:srgbClr val="000000"/>
          </a:solidFill>
          <a:round/>
          <a:tailEnd type="triangle" w="med" len="med"/>
        </a:ln>
      </xdr:spPr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"/>
  <sheetViews>
    <sheetView tabSelected="1" topLeftCell="A13" workbookViewId="0">
      <selection activeCell="F23" sqref="F23"/>
    </sheetView>
  </sheetViews>
  <sheetFormatPr defaultColWidth="12.5546875" defaultRowHeight="15" customHeight="1"/>
  <cols>
    <col min="1" max="2" width="9.21875" customWidth="1"/>
    <col min="3" max="3" width="10.5546875" customWidth="1"/>
    <col min="4" max="4" width="10.21875" customWidth="1"/>
    <col min="5" max="5" width="12.109375" bestFit="1" customWidth="1"/>
    <col min="6" max="6" width="7.77734375" customWidth="1"/>
    <col min="7" max="13" width="9.21875" customWidth="1"/>
  </cols>
  <sheetData>
    <row r="1" spans="1:13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24" customHeight="1">
      <c r="A2" s="269" t="s">
        <v>45</v>
      </c>
      <c r="B2" s="261"/>
      <c r="C2" s="261"/>
      <c r="D2" s="261"/>
      <c r="E2" s="261"/>
      <c r="F2" s="261"/>
      <c r="G2" s="261"/>
      <c r="H2" s="261"/>
      <c r="I2" s="261"/>
      <c r="J2" s="261"/>
      <c r="K2" s="4"/>
      <c r="L2" s="4"/>
      <c r="M2" s="4"/>
    </row>
    <row r="3" spans="1:13" ht="12.75" customHeight="1">
      <c r="A3" s="4"/>
      <c r="B3" s="4"/>
      <c r="C3" s="4"/>
      <c r="D3" s="4"/>
      <c r="E3" s="4"/>
      <c r="F3" s="4"/>
      <c r="G3" s="4"/>
      <c r="H3" s="4"/>
      <c r="I3" s="4"/>
      <c r="J3" s="27" t="s">
        <v>0</v>
      </c>
      <c r="K3" s="4"/>
      <c r="L3" s="4"/>
      <c r="M3" s="4"/>
    </row>
    <row r="4" spans="1:13" ht="12.75" customHeight="1">
      <c r="A4" s="4"/>
      <c r="B4" s="4" t="s">
        <v>46</v>
      </c>
      <c r="C4" s="3"/>
      <c r="D4" s="3"/>
      <c r="E4" s="4"/>
      <c r="F4" s="4"/>
      <c r="G4" s="4" t="s">
        <v>47</v>
      </c>
      <c r="H4" s="4"/>
      <c r="I4" s="4"/>
      <c r="J4" s="4"/>
      <c r="K4" s="4"/>
      <c r="L4" s="4"/>
      <c r="M4" s="4"/>
    </row>
    <row r="5" spans="1:13" ht="19.5" customHeight="1">
      <c r="A5" s="4"/>
      <c r="B5" s="4"/>
      <c r="C5" s="3"/>
      <c r="D5" s="28">
        <v>494097</v>
      </c>
      <c r="E5" s="29"/>
      <c r="F5" s="4"/>
      <c r="G5" s="4"/>
      <c r="H5" s="30">
        <v>1642282.7</v>
      </c>
      <c r="I5" s="4"/>
      <c r="J5" s="4"/>
      <c r="K5" s="4"/>
      <c r="L5" s="4"/>
      <c r="M5" s="4"/>
    </row>
    <row r="6" spans="1:13" ht="19.5" customHeight="1">
      <c r="A6" s="4"/>
      <c r="B6" s="4"/>
      <c r="C6" s="3"/>
      <c r="D6" s="28">
        <v>494097</v>
      </c>
      <c r="E6" s="29"/>
      <c r="F6" s="4"/>
      <c r="G6" s="4"/>
      <c r="H6" s="30">
        <v>1627592.4</v>
      </c>
      <c r="I6" s="25" t="s">
        <v>48</v>
      </c>
      <c r="J6" s="31"/>
      <c r="K6" s="4"/>
      <c r="L6" s="4"/>
      <c r="M6" s="4"/>
    </row>
    <row r="7" spans="1:13" ht="19.5" customHeight="1">
      <c r="A7" s="4"/>
      <c r="B7" s="4"/>
      <c r="C7" s="3"/>
      <c r="D7" s="32">
        <f>SUM(D5-D6)*1</f>
        <v>0</v>
      </c>
      <c r="E7" s="4" t="s">
        <v>3</v>
      </c>
      <c r="F7" s="4"/>
      <c r="G7" s="4"/>
      <c r="H7" s="30">
        <f>SUM(H5-H6)*0.48</f>
        <v>7051.3440000000219</v>
      </c>
      <c r="I7" s="4" t="s">
        <v>3</v>
      </c>
      <c r="J7" s="4"/>
      <c r="K7" s="4"/>
      <c r="L7" s="4"/>
      <c r="M7" s="4"/>
    </row>
    <row r="8" spans="1:13" ht="19.5" customHeight="1">
      <c r="A8" s="4"/>
      <c r="B8" s="4"/>
      <c r="C8" s="3"/>
      <c r="D8" s="33">
        <v>762</v>
      </c>
      <c r="E8" s="4"/>
      <c r="F8" s="4"/>
      <c r="G8" s="4"/>
      <c r="H8" s="30"/>
      <c r="I8" s="4"/>
      <c r="J8" s="5"/>
      <c r="K8" s="4"/>
      <c r="L8" s="4"/>
      <c r="M8" s="4"/>
    </row>
    <row r="9" spans="1:13" ht="19.5" customHeight="1">
      <c r="A9" s="4"/>
      <c r="B9" s="4"/>
      <c r="C9" s="3"/>
      <c r="D9" s="33">
        <v>762</v>
      </c>
      <c r="E9" s="4"/>
      <c r="F9" s="4"/>
      <c r="G9" s="4"/>
      <c r="H9" s="30"/>
      <c r="I9" s="4"/>
      <c r="J9" s="5"/>
      <c r="K9" s="4"/>
      <c r="L9" s="4"/>
      <c r="M9" s="4"/>
    </row>
    <row r="10" spans="1:13" ht="19.5" customHeight="1">
      <c r="A10" s="4"/>
      <c r="B10" s="4"/>
      <c r="C10" s="3"/>
      <c r="D10" s="34">
        <f>SUM(D8-D9)*0.48</f>
        <v>0</v>
      </c>
      <c r="E10" s="4" t="s">
        <v>2</v>
      </c>
      <c r="F10" s="4"/>
      <c r="G10" s="4"/>
      <c r="H10" s="30"/>
      <c r="I10" s="4" t="s">
        <v>2</v>
      </c>
      <c r="J10" s="35"/>
      <c r="K10" s="4"/>
      <c r="L10" s="4"/>
      <c r="M10" s="4"/>
    </row>
    <row r="11" spans="1:13" ht="19.5" customHeight="1">
      <c r="A11" s="4"/>
      <c r="B11" s="4"/>
      <c r="C11" s="3"/>
      <c r="D11" s="36">
        <v>145533</v>
      </c>
      <c r="E11" s="4"/>
      <c r="F11" s="4"/>
      <c r="G11" s="4"/>
      <c r="H11" s="37">
        <v>1634.2915</v>
      </c>
      <c r="I11" s="4"/>
      <c r="J11" s="4"/>
      <c r="K11" s="4"/>
      <c r="L11" s="4"/>
      <c r="M11" s="4"/>
    </row>
    <row r="12" spans="1:13" ht="19.5" customHeight="1">
      <c r="A12" s="4"/>
      <c r="B12" s="4"/>
      <c r="C12" s="3"/>
      <c r="D12" s="36">
        <v>145533</v>
      </c>
      <c r="E12" s="4"/>
      <c r="F12" s="4"/>
      <c r="G12" s="4"/>
      <c r="H12" s="37">
        <v>1619.6675</v>
      </c>
      <c r="I12" s="4" t="s">
        <v>37</v>
      </c>
      <c r="J12" s="4"/>
      <c r="K12" s="4"/>
      <c r="L12" s="4"/>
      <c r="M12" s="4"/>
    </row>
    <row r="13" spans="1:13" ht="19.5" customHeight="1">
      <c r="A13" s="4"/>
      <c r="B13" s="4"/>
      <c r="C13" s="3"/>
      <c r="D13" s="30">
        <f>SUM(D11-D12)*0.48</f>
        <v>0</v>
      </c>
      <c r="E13" s="4" t="s">
        <v>22</v>
      </c>
      <c r="F13" s="4"/>
      <c r="G13" s="4" t="s">
        <v>22</v>
      </c>
      <c r="H13" s="30">
        <f>SUM(H11-H12)*480</f>
        <v>7019.5200000000114</v>
      </c>
      <c r="I13" s="4"/>
      <c r="J13" s="4"/>
      <c r="K13" s="4"/>
      <c r="L13" s="4"/>
      <c r="M13" s="4"/>
    </row>
    <row r="14" spans="1:13" ht="19.5" customHeight="1">
      <c r="A14" s="4"/>
      <c r="B14" s="4"/>
      <c r="C14" s="4"/>
      <c r="D14" s="3" t="s">
        <v>49</v>
      </c>
      <c r="E14" s="3"/>
      <c r="F14" s="3"/>
      <c r="G14" s="3"/>
      <c r="H14" s="3" t="s">
        <v>49</v>
      </c>
      <c r="I14" s="21"/>
      <c r="J14" s="4"/>
      <c r="K14" s="4"/>
      <c r="L14" s="4"/>
      <c r="M14" s="4"/>
    </row>
    <row r="15" spans="1:13" ht="19.5" customHeight="1">
      <c r="A15" s="4"/>
      <c r="B15" s="3"/>
      <c r="C15" s="4"/>
      <c r="D15" s="3"/>
      <c r="E15" s="3"/>
      <c r="F15" s="3"/>
      <c r="G15" s="3"/>
      <c r="H15" s="3"/>
      <c r="I15" s="4"/>
      <c r="J15" s="270" t="s">
        <v>7</v>
      </c>
      <c r="K15" s="261"/>
      <c r="L15" s="4"/>
      <c r="M15" s="4"/>
    </row>
    <row r="16" spans="1:13" ht="19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9.5" customHeight="1">
      <c r="A17" s="4"/>
      <c r="B17" s="4"/>
      <c r="C17" s="5"/>
      <c r="D17" s="4"/>
      <c r="E17" s="5" t="s">
        <v>9</v>
      </c>
      <c r="F17" s="4"/>
      <c r="G17" s="4"/>
      <c r="H17" s="4"/>
      <c r="I17" s="5" t="s">
        <v>9</v>
      </c>
      <c r="J17" s="4"/>
      <c r="K17" s="4"/>
      <c r="L17" s="4"/>
      <c r="M17" s="4"/>
    </row>
    <row r="18" spans="1:13" ht="19.5" customHeight="1">
      <c r="A18" s="4"/>
      <c r="B18" s="4"/>
      <c r="C18" s="5"/>
      <c r="D18" s="4"/>
      <c r="E18" s="5" t="s">
        <v>40</v>
      </c>
      <c r="F18" s="4"/>
      <c r="G18" s="4"/>
      <c r="H18" s="4"/>
      <c r="I18" s="5" t="s">
        <v>40</v>
      </c>
      <c r="J18" s="4"/>
      <c r="K18" s="4"/>
      <c r="L18" s="4"/>
      <c r="M18" s="4"/>
    </row>
    <row r="19" spans="1:13" ht="19.5" customHeight="1">
      <c r="A19" s="4"/>
      <c r="B19" s="4"/>
      <c r="C19" s="5"/>
      <c r="D19" s="4"/>
      <c r="E19" s="5" t="s">
        <v>50</v>
      </c>
      <c r="F19" s="4"/>
      <c r="G19" s="4"/>
      <c r="H19" s="4"/>
      <c r="I19" s="5" t="s">
        <v>51</v>
      </c>
      <c r="J19" s="4"/>
      <c r="K19" s="4"/>
      <c r="L19" s="4"/>
      <c r="M19" s="4"/>
    </row>
    <row r="20" spans="1:13" ht="19.5" customHeight="1">
      <c r="A20" s="4"/>
      <c r="B20" s="4"/>
      <c r="C20" s="4"/>
      <c r="D20" s="4"/>
      <c r="E20" s="38">
        <v>32.58</v>
      </c>
      <c r="F20" s="5" t="s">
        <v>282</v>
      </c>
      <c r="G20" s="4"/>
      <c r="H20" s="4"/>
      <c r="I20" s="39">
        <v>80285</v>
      </c>
      <c r="J20" s="5" t="s">
        <v>282</v>
      </c>
      <c r="K20" s="4"/>
      <c r="L20" s="4"/>
      <c r="M20" s="4"/>
    </row>
    <row r="21" spans="1:13" ht="19.5" customHeight="1">
      <c r="A21" s="4"/>
      <c r="B21" s="4"/>
      <c r="C21" s="5"/>
      <c r="D21" s="4"/>
      <c r="E21" s="38">
        <v>11.75</v>
      </c>
      <c r="F21" s="4"/>
      <c r="G21" s="4"/>
      <c r="H21" s="4"/>
      <c r="I21" s="39">
        <v>72002</v>
      </c>
      <c r="J21" s="5"/>
      <c r="K21" s="4"/>
      <c r="L21" s="4"/>
      <c r="M21" s="4"/>
    </row>
    <row r="22" spans="1:13" ht="19.5" customHeight="1">
      <c r="A22" s="4"/>
      <c r="B22" s="4"/>
      <c r="C22" s="5"/>
      <c r="D22" s="4"/>
      <c r="E22" s="30">
        <f>SUM(E20-E21)*240</f>
        <v>4999.2</v>
      </c>
      <c r="F22" s="4"/>
      <c r="G22" s="4"/>
      <c r="H22" s="4"/>
      <c r="I22" s="30">
        <f>SUM(I20-I21)*0.24</f>
        <v>1987.9199999999998</v>
      </c>
      <c r="J22" s="5"/>
      <c r="K22" s="4"/>
      <c r="L22" s="4"/>
      <c r="M22" s="4"/>
    </row>
    <row r="23" spans="1:13" ht="19.5" customHeight="1">
      <c r="A23" s="4"/>
      <c r="B23" s="4"/>
      <c r="C23" s="35"/>
      <c r="D23" s="4"/>
      <c r="E23" s="4"/>
      <c r="F23" s="4"/>
      <c r="G23" s="4"/>
      <c r="H23" s="4"/>
      <c r="I23" s="35"/>
      <c r="J23" s="35"/>
      <c r="K23" s="4"/>
      <c r="L23" s="4"/>
      <c r="M23" s="4"/>
    </row>
    <row r="24" spans="1:13" ht="19.5" customHeight="1">
      <c r="A24" s="4"/>
      <c r="B24" s="4"/>
      <c r="C24" s="4"/>
      <c r="D24" s="4"/>
      <c r="E24" s="4" t="s">
        <v>52</v>
      </c>
      <c r="F24" s="4"/>
      <c r="G24" s="4"/>
      <c r="H24" s="4"/>
      <c r="I24" s="4" t="s">
        <v>52</v>
      </c>
      <c r="J24" s="4"/>
      <c r="K24" s="4"/>
      <c r="L24" s="4"/>
      <c r="M24" s="4"/>
    </row>
    <row r="25" spans="1:13" ht="19.5" customHeight="1">
      <c r="A25" s="4"/>
      <c r="B25" s="4"/>
      <c r="C25" s="4"/>
      <c r="D25" s="4"/>
      <c r="E25" s="4" t="s">
        <v>283</v>
      </c>
      <c r="F25" s="4"/>
      <c r="G25" s="4"/>
      <c r="H25" s="4"/>
      <c r="I25" s="4" t="s">
        <v>53</v>
      </c>
      <c r="J25" s="4"/>
      <c r="K25" s="4"/>
      <c r="L25" s="4"/>
      <c r="M25" s="4"/>
    </row>
    <row r="26" spans="1:13" ht="19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9.5" customHeight="1">
      <c r="A27" s="4"/>
      <c r="B27" s="4"/>
      <c r="C27" s="4"/>
      <c r="D27" s="4"/>
      <c r="E27" s="4"/>
      <c r="F27" s="4"/>
      <c r="G27" s="4"/>
      <c r="H27" s="4"/>
      <c r="I27" s="4"/>
      <c r="J27" s="270" t="s">
        <v>13</v>
      </c>
      <c r="K27" s="261"/>
      <c r="L27" s="4"/>
      <c r="M27" s="4"/>
    </row>
    <row r="28" spans="1:13" ht="19.5" customHeight="1">
      <c r="A28" s="4" t="s">
        <v>49</v>
      </c>
      <c r="B28" s="4"/>
      <c r="C28" s="4" t="s">
        <v>54</v>
      </c>
      <c r="D28" s="4"/>
      <c r="E28" s="4" t="s">
        <v>54</v>
      </c>
      <c r="F28" s="4"/>
      <c r="G28" s="4" t="s">
        <v>14</v>
      </c>
      <c r="H28" s="4"/>
      <c r="I28" s="4" t="s">
        <v>14</v>
      </c>
      <c r="J28" s="4"/>
      <c r="K28" s="4" t="s">
        <v>14</v>
      </c>
      <c r="L28" s="4"/>
      <c r="M28" s="4"/>
    </row>
    <row r="29" spans="1:13" ht="19.5" customHeight="1">
      <c r="A29" s="4" t="s">
        <v>55</v>
      </c>
      <c r="B29" s="4"/>
      <c r="C29" s="4" t="s">
        <v>56</v>
      </c>
      <c r="D29" s="4"/>
      <c r="E29" s="4" t="s">
        <v>57</v>
      </c>
      <c r="F29" s="4"/>
      <c r="G29" s="4" t="s">
        <v>58</v>
      </c>
      <c r="H29" s="4"/>
      <c r="I29" s="4" t="s">
        <v>59</v>
      </c>
      <c r="J29" s="4"/>
      <c r="K29" s="4" t="s">
        <v>59</v>
      </c>
      <c r="L29" s="4"/>
      <c r="M29" s="4"/>
    </row>
    <row r="30" spans="1:13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9.5" customHeight="1">
      <c r="A31" s="40">
        <v>335066.90000000002</v>
      </c>
      <c r="B31" s="4"/>
      <c r="C31" s="41">
        <v>191.0813</v>
      </c>
      <c r="D31" s="4"/>
      <c r="E31" s="40">
        <v>176100</v>
      </c>
      <c r="F31" s="4"/>
      <c r="G31" s="40">
        <v>2049.42</v>
      </c>
      <c r="H31" s="42"/>
      <c r="I31" s="42">
        <v>146236</v>
      </c>
      <c r="J31" s="4"/>
      <c r="K31" s="40">
        <v>206268.47</v>
      </c>
      <c r="L31" s="4"/>
      <c r="M31" s="4"/>
    </row>
    <row r="32" spans="1:13" ht="19.5" customHeight="1">
      <c r="A32" s="40">
        <v>333952.2</v>
      </c>
      <c r="B32" s="4"/>
      <c r="C32" s="41">
        <v>174.00687500000001</v>
      </c>
      <c r="D32" s="4"/>
      <c r="E32" s="40">
        <v>176089</v>
      </c>
      <c r="F32" s="4"/>
      <c r="G32" s="40">
        <v>2049.42</v>
      </c>
      <c r="H32" s="42"/>
      <c r="I32" s="42">
        <v>140991</v>
      </c>
      <c r="J32" s="4"/>
      <c r="K32" s="40">
        <v>204727.73</v>
      </c>
      <c r="L32" s="4"/>
      <c r="M32" s="4"/>
    </row>
    <row r="33" spans="1:13" ht="19.5" customHeight="1">
      <c r="A33" s="43">
        <f>SUM(A31-A32)*2</f>
        <v>2229.4000000000233</v>
      </c>
      <c r="B33" s="4"/>
      <c r="C33" s="43">
        <f>SUM(C31-C32)*60</f>
        <v>1024.4654999999993</v>
      </c>
      <c r="D33" s="21"/>
      <c r="E33" s="40">
        <f>SUM(E31-E32)*0.12</f>
        <v>1.3199999999999998</v>
      </c>
      <c r="F33" s="21"/>
      <c r="G33" s="43">
        <f>SUM(G31-G32)*2</f>
        <v>0</v>
      </c>
      <c r="H33" s="39">
        <v>2</v>
      </c>
      <c r="I33" s="43">
        <f>SUM(I31-I32)*0.12</f>
        <v>629.4</v>
      </c>
      <c r="J33" s="4"/>
      <c r="K33" s="43">
        <f>SUM(K31-K32)*2</f>
        <v>3081.4799999999814</v>
      </c>
      <c r="L33" s="4"/>
      <c r="M33" s="4"/>
    </row>
    <row r="34" spans="1:13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9.5" customHeight="1">
      <c r="A35" s="4"/>
      <c r="B35" s="4"/>
      <c r="C35" s="4"/>
      <c r="D35" s="4"/>
      <c r="E35" s="4"/>
      <c r="F35" s="44"/>
      <c r="G35" s="4"/>
      <c r="H35" s="4"/>
      <c r="I35" s="4"/>
      <c r="J35" s="4"/>
      <c r="K35" s="4"/>
      <c r="L35" s="4"/>
      <c r="M35" s="4"/>
    </row>
    <row r="36" spans="1:13" ht="19.5" customHeight="1">
      <c r="A36" s="3" t="s">
        <v>60</v>
      </c>
      <c r="B36" s="4"/>
      <c r="C36" s="3" t="s">
        <v>61</v>
      </c>
      <c r="D36" s="4"/>
      <c r="E36" s="3" t="s">
        <v>62</v>
      </c>
      <c r="F36" s="4"/>
      <c r="G36" s="3" t="s">
        <v>63</v>
      </c>
      <c r="H36" s="3" t="s">
        <v>64</v>
      </c>
      <c r="I36" s="45" t="s">
        <v>65</v>
      </c>
      <c r="J36" s="4"/>
      <c r="K36" s="45" t="s">
        <v>66</v>
      </c>
      <c r="L36" s="4"/>
      <c r="M36" s="4"/>
    </row>
    <row r="37" spans="1:13" ht="19.5" customHeight="1">
      <c r="A37" s="5" t="s">
        <v>67</v>
      </c>
      <c r="B37" s="4"/>
      <c r="C37" s="46" t="s">
        <v>68</v>
      </c>
      <c r="D37" s="4"/>
      <c r="E37" s="46" t="s">
        <v>69</v>
      </c>
      <c r="F37" s="4"/>
      <c r="G37" s="3" t="s">
        <v>16</v>
      </c>
      <c r="H37" s="4"/>
      <c r="I37" s="46" t="s">
        <v>69</v>
      </c>
      <c r="J37" s="4"/>
      <c r="K37" s="4" t="s">
        <v>70</v>
      </c>
      <c r="L37" s="4"/>
      <c r="M37" s="4"/>
    </row>
    <row r="38" spans="1:13" ht="19.5" customHeight="1">
      <c r="A38" s="46" t="s">
        <v>69</v>
      </c>
      <c r="B38" s="4"/>
      <c r="C38" s="46" t="s">
        <v>36</v>
      </c>
      <c r="D38" s="4"/>
      <c r="E38" s="46" t="s">
        <v>36</v>
      </c>
      <c r="F38" s="4"/>
      <c r="G38" s="3" t="s">
        <v>71</v>
      </c>
      <c r="H38" s="3"/>
      <c r="I38" s="46" t="s">
        <v>36</v>
      </c>
      <c r="J38" s="4"/>
      <c r="K38" s="46" t="s">
        <v>69</v>
      </c>
      <c r="L38" s="4"/>
      <c r="M38" s="4"/>
    </row>
    <row r="39" spans="1:13" ht="19.5" customHeight="1">
      <c r="A39" s="46" t="s">
        <v>36</v>
      </c>
      <c r="B39" s="3"/>
      <c r="C39" s="3"/>
      <c r="D39" s="3"/>
      <c r="E39" s="4"/>
      <c r="F39" s="3"/>
      <c r="G39" s="3"/>
      <c r="H39" s="3"/>
      <c r="I39" s="4"/>
      <c r="J39" s="4"/>
      <c r="K39" s="46" t="s">
        <v>36</v>
      </c>
      <c r="L39" s="4"/>
      <c r="M39" s="21"/>
    </row>
    <row r="40" spans="1:13" ht="19.5" customHeight="1">
      <c r="A40" s="4"/>
      <c r="B40" s="3"/>
      <c r="C40" s="3"/>
      <c r="D40" s="3"/>
      <c r="E40" s="4"/>
      <c r="F40" s="3"/>
      <c r="G40" s="3"/>
      <c r="H40" s="3"/>
      <c r="I40" s="4"/>
      <c r="J40" s="4"/>
      <c r="K40" s="4"/>
      <c r="L40" s="4"/>
      <c r="M40" s="4"/>
    </row>
    <row r="41" spans="1:13" ht="28.5" customHeight="1">
      <c r="A41" s="47"/>
      <c r="B41" s="48" t="s">
        <v>72</v>
      </c>
      <c r="C41" s="48" t="s">
        <v>13</v>
      </c>
      <c r="D41" s="48" t="s">
        <v>73</v>
      </c>
      <c r="E41" s="48" t="s">
        <v>74</v>
      </c>
      <c r="F41" s="48" t="s">
        <v>75</v>
      </c>
      <c r="G41" s="48" t="s">
        <v>76</v>
      </c>
      <c r="H41" s="48" t="s">
        <v>77</v>
      </c>
      <c r="I41" s="48" t="s">
        <v>78</v>
      </c>
      <c r="J41" s="48" t="s">
        <v>21</v>
      </c>
      <c r="K41" s="4"/>
      <c r="L41" s="4"/>
      <c r="M41" s="4"/>
    </row>
    <row r="42" spans="1:13" ht="19.5" customHeight="1">
      <c r="A42" s="49" t="s">
        <v>22</v>
      </c>
      <c r="B42" s="30">
        <f>D13+H13</f>
        <v>7019.5200000000114</v>
      </c>
      <c r="C42" s="30">
        <f>E22+I22</f>
        <v>6987.12</v>
      </c>
      <c r="D42" s="30">
        <f>B42</f>
        <v>7019.5200000000114</v>
      </c>
      <c r="E42" s="50" t="s">
        <v>24</v>
      </c>
      <c r="F42" s="30">
        <f>A33+C33+K33+G33+E33+I33</f>
        <v>6966.0655000000033</v>
      </c>
      <c r="G42" s="51" t="s">
        <v>26</v>
      </c>
      <c r="H42" s="51" t="s">
        <v>26</v>
      </c>
      <c r="I42" s="51" t="s">
        <v>26</v>
      </c>
      <c r="J42" s="30">
        <f>F42</f>
        <v>6966.0655000000033</v>
      </c>
      <c r="K42" s="4"/>
      <c r="L42" s="4"/>
      <c r="M42" s="4"/>
    </row>
    <row r="43" spans="1:13" ht="19.5" customHeight="1">
      <c r="A43" s="49" t="s">
        <v>43</v>
      </c>
      <c r="B43" s="30">
        <f>E22+I22</f>
        <v>6987.12</v>
      </c>
      <c r="C43" s="30">
        <f>A33+C33+G33+K33+I33+H33+E33</f>
        <v>6968.0655000000033</v>
      </c>
      <c r="D43" s="30">
        <f>C43+D10</f>
        <v>6968.0655000000033</v>
      </c>
      <c r="E43" s="50" t="s">
        <v>28</v>
      </c>
      <c r="F43" s="52" t="s">
        <v>26</v>
      </c>
      <c r="G43" s="52">
        <f>D10+2</f>
        <v>2</v>
      </c>
      <c r="H43" s="51" t="s">
        <v>26</v>
      </c>
      <c r="I43" s="51" t="s">
        <v>26</v>
      </c>
      <c r="J43" s="52">
        <f>G43</f>
        <v>2</v>
      </c>
      <c r="K43" s="4"/>
      <c r="L43" s="4"/>
      <c r="M43" s="4"/>
    </row>
    <row r="44" spans="1:13" ht="19.5" customHeight="1">
      <c r="A44" s="49" t="s">
        <v>44</v>
      </c>
      <c r="B44" s="30">
        <f t="shared" ref="B44:D44" si="0">B42-B43</f>
        <v>32.40000000001146</v>
      </c>
      <c r="C44" s="30">
        <f t="shared" si="0"/>
        <v>19.054499999996551</v>
      </c>
      <c r="D44" s="30">
        <f t="shared" si="0"/>
        <v>51.454500000008011</v>
      </c>
      <c r="E44" s="50" t="s">
        <v>79</v>
      </c>
      <c r="F44" s="52" t="s">
        <v>26</v>
      </c>
      <c r="G44" s="52" t="s">
        <v>26</v>
      </c>
      <c r="H44" s="51" t="s">
        <v>26</v>
      </c>
      <c r="I44" s="52">
        <f>G33</f>
        <v>0</v>
      </c>
      <c r="J44" s="30">
        <f>I44</f>
        <v>0</v>
      </c>
      <c r="K44" s="4"/>
      <c r="L44" s="4"/>
      <c r="M44" s="4"/>
    </row>
    <row r="45" spans="1:13" ht="19.5" customHeight="1">
      <c r="A45" s="49"/>
      <c r="B45" s="30"/>
      <c r="C45" s="30"/>
      <c r="D45" s="30"/>
      <c r="E45" s="50" t="s">
        <v>80</v>
      </c>
      <c r="F45" s="52" t="s">
        <v>26</v>
      </c>
      <c r="G45" s="52" t="s">
        <v>26</v>
      </c>
      <c r="H45" s="52">
        <f>H10</f>
        <v>0</v>
      </c>
      <c r="I45" s="51" t="s">
        <v>26</v>
      </c>
      <c r="J45" s="30">
        <f>H45</f>
        <v>0</v>
      </c>
      <c r="K45" s="4"/>
      <c r="L45" s="4"/>
      <c r="M45" s="4"/>
    </row>
    <row r="46" spans="1:13" ht="19.5" customHeight="1">
      <c r="A46" s="49" t="s">
        <v>29</v>
      </c>
      <c r="B46" s="30">
        <f t="shared" ref="B46:D46" si="1">B44/B42*100</f>
        <v>0.46157002188200058</v>
      </c>
      <c r="C46" s="30">
        <f t="shared" si="1"/>
        <v>0.27270892728329488</v>
      </c>
      <c r="D46" s="30">
        <f t="shared" si="1"/>
        <v>0.7330202065099598</v>
      </c>
      <c r="E46" s="39" t="s">
        <v>30</v>
      </c>
      <c r="F46" s="30">
        <f>F42</f>
        <v>6966.0655000000033</v>
      </c>
      <c r="G46" s="51" t="s">
        <v>26</v>
      </c>
      <c r="H46" s="51" t="s">
        <v>26</v>
      </c>
      <c r="I46" s="51" t="s">
        <v>26</v>
      </c>
      <c r="J46" s="52">
        <f>SUM(J42:J45)</f>
        <v>6968.0655000000033</v>
      </c>
      <c r="K46" s="21"/>
      <c r="L46" s="4"/>
      <c r="M46" s="4"/>
    </row>
    <row r="47" spans="1:13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2.75" customHeight="1">
      <c r="A48" s="22" t="s">
        <v>81</v>
      </c>
      <c r="B48" s="6"/>
      <c r="C48" s="6"/>
      <c r="D48" s="6"/>
      <c r="E48" s="6"/>
      <c r="F48" s="6"/>
      <c r="G48" s="6"/>
      <c r="H48" s="23"/>
      <c r="I48" s="23"/>
      <c r="J48" s="23"/>
      <c r="K48" s="23"/>
      <c r="L48" s="4"/>
      <c r="M48" s="4"/>
    </row>
    <row r="49" spans="1:13" ht="12.75" customHeight="1">
      <c r="A49" s="22"/>
      <c r="B49" s="6"/>
      <c r="C49" s="6"/>
      <c r="D49" s="6"/>
      <c r="E49" s="6"/>
      <c r="F49" s="6"/>
      <c r="G49" s="6"/>
      <c r="H49" s="23"/>
      <c r="I49" s="23"/>
      <c r="J49" s="23"/>
      <c r="K49" s="23"/>
      <c r="L49" s="4"/>
      <c r="M49" s="4"/>
    </row>
    <row r="50" spans="1:13" ht="12.75" customHeight="1">
      <c r="A50" s="22"/>
      <c r="B50" s="6"/>
      <c r="C50" s="6"/>
      <c r="D50" s="6"/>
      <c r="E50" s="6"/>
      <c r="F50" s="6"/>
      <c r="G50" s="6"/>
      <c r="H50" s="23"/>
      <c r="I50" s="23"/>
      <c r="J50" s="23"/>
      <c r="K50" s="23"/>
      <c r="L50" s="4"/>
      <c r="M50" s="4"/>
    </row>
    <row r="51" spans="1:13" ht="12.75" customHeight="1">
      <c r="A51" s="5" t="s">
        <v>31</v>
      </c>
      <c r="B51" s="6"/>
      <c r="C51" s="5" t="s">
        <v>32</v>
      </c>
      <c r="D51" s="4"/>
      <c r="E51" s="2"/>
      <c r="F51" s="4"/>
      <c r="G51" s="5" t="s">
        <v>82</v>
      </c>
      <c r="H51" s="4"/>
      <c r="I51" s="5" t="s">
        <v>83</v>
      </c>
      <c r="J51" s="23"/>
      <c r="K51" s="23"/>
      <c r="L51" s="4"/>
      <c r="M51" s="4"/>
    </row>
    <row r="52" spans="1:13" ht="12.75" customHeight="1">
      <c r="A52" s="5" t="s">
        <v>36</v>
      </c>
      <c r="B52" s="4"/>
      <c r="C52" s="5" t="s">
        <v>36</v>
      </c>
      <c r="D52" s="4"/>
      <c r="E52" s="2"/>
      <c r="F52" s="4"/>
      <c r="G52" s="5" t="s">
        <v>36</v>
      </c>
      <c r="H52" s="4"/>
      <c r="I52" s="5" t="s">
        <v>36</v>
      </c>
      <c r="J52" s="3"/>
      <c r="K52" s="3"/>
      <c r="L52" s="4"/>
      <c r="M52" s="4"/>
    </row>
    <row r="53" spans="1:13" ht="12.75" customHeight="1">
      <c r="A53" s="4"/>
      <c r="B53" s="266"/>
      <c r="C53" s="261"/>
      <c r="D53" s="4"/>
      <c r="E53" s="4"/>
      <c r="F53" s="4"/>
      <c r="G53" s="4"/>
      <c r="H53" s="3"/>
      <c r="I53" s="3"/>
      <c r="J53" s="3"/>
      <c r="K53" s="3"/>
      <c r="L53" s="4"/>
      <c r="M53" s="4"/>
    </row>
    <row r="54" spans="1:13" ht="12.75" customHeight="1">
      <c r="A54" s="4"/>
      <c r="B54" s="266"/>
      <c r="C54" s="261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2.75" customHeight="1">
      <c r="A59" s="4"/>
      <c r="B59" s="4"/>
      <c r="C59" s="4"/>
      <c r="D59" s="4"/>
      <c r="E59" s="4"/>
      <c r="F59" s="4"/>
      <c r="G59" s="4"/>
      <c r="H59" s="4"/>
      <c r="I59" s="21"/>
      <c r="J59" s="4"/>
      <c r="K59" s="4"/>
      <c r="L59" s="4"/>
      <c r="M59" s="4"/>
    </row>
    <row r="60" spans="1:13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2.75" customHeight="1">
      <c r="A67" s="4"/>
      <c r="B67" s="4"/>
      <c r="C67" s="4"/>
      <c r="D67" s="4"/>
      <c r="E67" s="4"/>
      <c r="F67" s="4"/>
      <c r="G67" s="4"/>
      <c r="H67" s="21"/>
      <c r="I67" s="4"/>
      <c r="J67" s="4"/>
      <c r="K67" s="4"/>
      <c r="L67" s="4"/>
      <c r="M67" s="4"/>
    </row>
    <row r="68" spans="1:13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</sheetData>
  <mergeCells count="5">
    <mergeCell ref="A2:J2"/>
    <mergeCell ref="J15:K15"/>
    <mergeCell ref="J27:K27"/>
    <mergeCell ref="B53:C53"/>
    <mergeCell ref="B54:C54"/>
  </mergeCells>
  <pageMargins left="0.7" right="7158278.8300000001" top="0.46" bottom="0.75" header="0" footer="0"/>
  <pageSetup paperSize="9" scale="7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6"/>
  <sheetViews>
    <sheetView topLeftCell="A73" workbookViewId="0">
      <selection activeCell="A78" sqref="A78"/>
    </sheetView>
  </sheetViews>
  <sheetFormatPr defaultColWidth="12.5546875" defaultRowHeight="15" customHeight="1"/>
  <cols>
    <col min="1" max="1" width="6.21875" customWidth="1"/>
    <col min="2" max="2" width="9.44140625" customWidth="1"/>
    <col min="3" max="3" width="3.44140625" customWidth="1"/>
    <col min="4" max="4" width="10" customWidth="1"/>
    <col min="5" max="5" width="2.77734375" customWidth="1"/>
    <col min="6" max="6" width="10.44140625" customWidth="1"/>
    <col min="7" max="7" width="8.5546875" customWidth="1"/>
    <col min="8" max="8" width="11.77734375" customWidth="1"/>
    <col min="9" max="9" width="10.5546875" customWidth="1"/>
    <col min="10" max="10" width="9.77734375" customWidth="1"/>
    <col min="11" max="11" width="3.21875" customWidth="1"/>
    <col min="12" max="12" width="9.5546875" customWidth="1"/>
    <col min="13" max="13" width="11.21875" customWidth="1"/>
    <col min="14" max="14" width="8.44140625" customWidth="1"/>
    <col min="15" max="15" width="10" customWidth="1"/>
    <col min="16" max="16" width="12.5546875" customWidth="1"/>
    <col min="17" max="17" width="10.21875" customWidth="1"/>
    <col min="18" max="18" width="9.21875" customWidth="1"/>
    <col min="19" max="19" width="11.77734375" customWidth="1"/>
    <col min="20" max="20" width="8.77734375" customWidth="1"/>
    <col min="21" max="21" width="9.77734375" customWidth="1"/>
    <col min="22" max="22" width="9.5546875" customWidth="1"/>
    <col min="23" max="23" width="12.5546875" customWidth="1"/>
    <col min="24" max="24" width="9.44140625" customWidth="1"/>
    <col min="25" max="25" width="8.21875" customWidth="1"/>
    <col min="26" max="26" width="7.21875" customWidth="1"/>
    <col min="27" max="28" width="9.77734375" customWidth="1"/>
    <col min="29" max="29" width="10.44140625" customWidth="1"/>
    <col min="30" max="30" width="9.44140625" customWidth="1"/>
    <col min="31" max="31" width="8.5546875" customWidth="1"/>
    <col min="32" max="32" width="8.21875" customWidth="1"/>
    <col min="33" max="34" width="7.44140625" customWidth="1"/>
    <col min="35" max="35" width="8.44140625" customWidth="1"/>
    <col min="36" max="36" width="10.77734375" customWidth="1"/>
    <col min="37" max="37" width="8" customWidth="1"/>
  </cols>
  <sheetData>
    <row r="1" spans="1:37" ht="16.5" customHeight="1">
      <c r="A1" s="291" t="s">
        <v>86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4"/>
      <c r="V1" s="54"/>
      <c r="W1" s="54"/>
      <c r="X1" s="54"/>
      <c r="Y1" s="4"/>
      <c r="Z1" s="54"/>
      <c r="AA1" s="54"/>
      <c r="AB1" s="54"/>
      <c r="AC1" s="4"/>
      <c r="AD1" s="4"/>
      <c r="AE1" s="4"/>
      <c r="AF1" s="4"/>
      <c r="AG1" s="4"/>
      <c r="AH1" s="4"/>
      <c r="AI1" s="4"/>
      <c r="AJ1" s="4"/>
      <c r="AK1" s="4"/>
    </row>
    <row r="2" spans="1:37" ht="12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"/>
      <c r="S2" s="4"/>
      <c r="T2" s="4"/>
      <c r="U2" s="55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 ht="24" customHeight="1">
      <c r="A3" s="4"/>
      <c r="B3" s="56"/>
      <c r="C3" s="57"/>
      <c r="D3" s="29"/>
      <c r="E3" s="57"/>
      <c r="F3" s="29"/>
      <c r="G3" s="56" t="s">
        <v>87</v>
      </c>
      <c r="H3" s="56"/>
      <c r="I3" s="56"/>
      <c r="J3" s="292" t="s">
        <v>88</v>
      </c>
      <c r="K3" s="261"/>
      <c r="L3" s="261"/>
      <c r="M3" s="292" t="s">
        <v>89</v>
      </c>
      <c r="N3" s="261"/>
      <c r="O3" s="58"/>
      <c r="P3" s="58"/>
      <c r="Q3" s="292" t="s">
        <v>90</v>
      </c>
      <c r="R3" s="261"/>
      <c r="S3" s="261"/>
      <c r="T3" s="59"/>
      <c r="U3" s="55" t="s">
        <v>91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ht="18" customHeight="1">
      <c r="A4" s="60"/>
      <c r="B4" s="60"/>
      <c r="C4" s="29"/>
      <c r="D4" s="29"/>
      <c r="E4" s="29"/>
      <c r="F4" s="29"/>
      <c r="G4" s="296">
        <v>354.61</v>
      </c>
      <c r="H4" s="263"/>
      <c r="I4" s="61" t="s">
        <v>1</v>
      </c>
      <c r="J4" s="62">
        <v>285</v>
      </c>
      <c r="K4" s="63"/>
      <c r="L4" s="25" t="s">
        <v>1</v>
      </c>
      <c r="M4" s="299" t="s">
        <v>92</v>
      </c>
      <c r="N4" s="64">
        <v>4103.0519999999997</v>
      </c>
      <c r="O4" s="65" t="s">
        <v>1</v>
      </c>
      <c r="P4" s="300" t="s">
        <v>93</v>
      </c>
      <c r="Q4" s="66"/>
      <c r="R4" s="67">
        <v>4139.6260000000002</v>
      </c>
      <c r="S4" s="65" t="s">
        <v>1</v>
      </c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</row>
    <row r="5" spans="1:37" ht="18" customHeight="1">
      <c r="A5" s="60"/>
      <c r="B5" s="60"/>
      <c r="C5" s="29"/>
      <c r="D5" s="29"/>
      <c r="E5" s="29"/>
      <c r="F5" s="29"/>
      <c r="G5" s="296">
        <v>334.25</v>
      </c>
      <c r="H5" s="263"/>
      <c r="I5" s="68" t="s">
        <v>94</v>
      </c>
      <c r="J5" s="62">
        <v>285</v>
      </c>
      <c r="K5" s="63"/>
      <c r="L5" s="13" t="s">
        <v>95</v>
      </c>
      <c r="M5" s="282"/>
      <c r="N5" s="64">
        <v>4071.2060000000001</v>
      </c>
      <c r="O5" s="65" t="s">
        <v>95</v>
      </c>
      <c r="P5" s="262"/>
      <c r="Q5" s="69"/>
      <c r="R5" s="67">
        <v>4107.7250000000004</v>
      </c>
      <c r="S5" s="65" t="s">
        <v>95</v>
      </c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</row>
    <row r="6" spans="1:37" ht="18" customHeight="1">
      <c r="A6" s="60"/>
      <c r="B6" s="60"/>
      <c r="C6" s="70"/>
      <c r="D6" s="29"/>
      <c r="E6" s="71"/>
      <c r="F6" s="60"/>
      <c r="G6" s="293">
        <f>(G4-G5)*1600</f>
        <v>32576.000000000022</v>
      </c>
      <c r="H6" s="263"/>
      <c r="I6" s="72" t="s">
        <v>96</v>
      </c>
      <c r="J6" s="293">
        <f>(J4-J5)*1.6</f>
        <v>0</v>
      </c>
      <c r="K6" s="263"/>
      <c r="L6" s="73" t="s">
        <v>96</v>
      </c>
      <c r="M6" s="74">
        <f>(N4-N5)*100/N5</f>
        <v>0.78222521778557874</v>
      </c>
      <c r="N6" s="75">
        <f>(N4-N5)*1600</f>
        <v>50953.599999999278</v>
      </c>
      <c r="O6" s="76" t="s">
        <v>96</v>
      </c>
      <c r="P6" s="77">
        <f>(R6-Q15)*100/R6</f>
        <v>0.34481677690252072</v>
      </c>
      <c r="Q6" s="74"/>
      <c r="R6" s="75">
        <f>(R4-R5)*1600</f>
        <v>51041.599999999744</v>
      </c>
      <c r="S6" s="76" t="s">
        <v>96</v>
      </c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</row>
    <row r="7" spans="1:37" ht="18" customHeight="1">
      <c r="A7" s="60"/>
      <c r="B7" s="60"/>
      <c r="C7" s="29"/>
      <c r="D7" s="29"/>
      <c r="E7" s="71"/>
      <c r="F7" s="76"/>
      <c r="G7" s="285">
        <v>41.99</v>
      </c>
      <c r="H7" s="263"/>
      <c r="I7" s="68"/>
      <c r="J7" s="78">
        <v>1580208</v>
      </c>
      <c r="K7" s="78"/>
      <c r="L7" s="79"/>
      <c r="M7" s="62"/>
      <c r="N7" s="67">
        <v>0.74299999999999999</v>
      </c>
      <c r="O7" s="80"/>
      <c r="P7" s="58"/>
      <c r="Q7" s="62"/>
      <c r="R7" s="67">
        <v>0.83199999999999996</v>
      </c>
      <c r="S7" s="81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</row>
    <row r="8" spans="1:37" ht="18" customHeight="1">
      <c r="A8" s="60"/>
      <c r="B8" s="60"/>
      <c r="C8" s="71"/>
      <c r="D8" s="29"/>
      <c r="E8" s="71"/>
      <c r="F8" s="72"/>
      <c r="G8" s="285">
        <v>41.91</v>
      </c>
      <c r="H8" s="263"/>
      <c r="I8" s="68" t="s">
        <v>94</v>
      </c>
      <c r="J8" s="78">
        <v>1559739</v>
      </c>
      <c r="K8" s="63"/>
      <c r="L8" s="13" t="s">
        <v>95</v>
      </c>
      <c r="M8" s="62"/>
      <c r="N8" s="67">
        <v>0.74299999999999999</v>
      </c>
      <c r="O8" s="80" t="s">
        <v>95</v>
      </c>
      <c r="P8" s="58"/>
      <c r="Q8" s="62"/>
      <c r="R8" s="67">
        <v>0.83199999999999996</v>
      </c>
      <c r="S8" s="80" t="s">
        <v>95</v>
      </c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</row>
    <row r="9" spans="1:37" ht="18" customHeight="1">
      <c r="A9" s="60"/>
      <c r="B9" s="60"/>
      <c r="C9" s="29"/>
      <c r="D9" s="29"/>
      <c r="E9" s="82"/>
      <c r="F9" s="83"/>
      <c r="G9" s="293">
        <f>(G7-G8)*1600</f>
        <v>128.00000000000864</v>
      </c>
      <c r="H9" s="263"/>
      <c r="I9" s="65" t="s">
        <v>97</v>
      </c>
      <c r="J9" s="293">
        <f>(J7-J8)*1.6</f>
        <v>32750.400000000001</v>
      </c>
      <c r="K9" s="263"/>
      <c r="L9" s="73" t="s">
        <v>38</v>
      </c>
      <c r="M9" s="62"/>
      <c r="N9" s="75">
        <f>(N7-N8)*1600</f>
        <v>0</v>
      </c>
      <c r="O9" s="80" t="s">
        <v>98</v>
      </c>
      <c r="P9" s="58"/>
      <c r="Q9" s="62"/>
      <c r="R9" s="63">
        <f>(R7-R8)*1600</f>
        <v>0</v>
      </c>
      <c r="S9" s="80" t="s">
        <v>98</v>
      </c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</row>
    <row r="10" spans="1:37" ht="18" customHeight="1">
      <c r="A10" s="60"/>
      <c r="B10" s="7"/>
      <c r="C10" s="29"/>
      <c r="D10" s="29"/>
      <c r="E10" s="61"/>
      <c r="F10" s="84"/>
      <c r="G10" s="286">
        <v>551948</v>
      </c>
      <c r="H10" s="263"/>
      <c r="I10" s="65"/>
      <c r="J10" s="85">
        <v>6123103</v>
      </c>
      <c r="K10" s="86"/>
      <c r="L10" s="79"/>
      <c r="M10" s="286">
        <v>0.82099999999999995</v>
      </c>
      <c r="N10" s="263"/>
      <c r="O10" s="80"/>
      <c r="P10" s="58"/>
      <c r="Q10" s="297">
        <v>0.84599999999999997</v>
      </c>
      <c r="R10" s="263"/>
      <c r="S10" s="88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</row>
    <row r="11" spans="1:37" ht="18" customHeight="1">
      <c r="A11" s="60"/>
      <c r="B11" s="60"/>
      <c r="C11" s="60"/>
      <c r="D11" s="89"/>
      <c r="E11" s="61"/>
      <c r="F11" s="84"/>
      <c r="G11" s="286">
        <v>551872</v>
      </c>
      <c r="H11" s="263"/>
      <c r="I11" s="65" t="s">
        <v>99</v>
      </c>
      <c r="J11" s="85">
        <v>6102538</v>
      </c>
      <c r="K11" s="86"/>
      <c r="L11" s="79"/>
      <c r="M11" s="286">
        <v>0.82</v>
      </c>
      <c r="N11" s="263"/>
      <c r="O11" s="80"/>
      <c r="P11" s="58"/>
      <c r="Q11" s="297">
        <v>0.84499999999999997</v>
      </c>
      <c r="R11" s="263"/>
      <c r="S11" s="76" t="s">
        <v>95</v>
      </c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</row>
    <row r="12" spans="1:37" ht="18" customHeight="1">
      <c r="A12" s="60"/>
      <c r="B12" s="60"/>
      <c r="C12" s="60"/>
      <c r="D12" s="60"/>
      <c r="E12" s="61"/>
      <c r="F12" s="72"/>
      <c r="G12" s="294">
        <f>SUM(G10-G11)*1.6</f>
        <v>121.60000000000001</v>
      </c>
      <c r="H12" s="263"/>
      <c r="I12" s="76" t="s">
        <v>2</v>
      </c>
      <c r="J12" s="294">
        <f>SUM(J10-J11)*1.6</f>
        <v>32904</v>
      </c>
      <c r="K12" s="263"/>
      <c r="L12" s="3" t="s">
        <v>2</v>
      </c>
      <c r="M12" s="294">
        <f>(M10-M11)*1600</f>
        <v>1.6000000000000014</v>
      </c>
      <c r="N12" s="263"/>
      <c r="O12" s="90" t="s">
        <v>2</v>
      </c>
      <c r="P12" s="4"/>
      <c r="Q12" s="298">
        <f>(Q10-Q11)*1600</f>
        <v>1.6000000000000014</v>
      </c>
      <c r="R12" s="263"/>
      <c r="S12" s="76" t="s">
        <v>2</v>
      </c>
      <c r="T12" s="60"/>
      <c r="U12" s="60"/>
      <c r="V12" s="60"/>
      <c r="W12" s="60"/>
      <c r="X12" s="60"/>
      <c r="Y12" s="71"/>
      <c r="Z12" s="60"/>
      <c r="AA12" s="60"/>
      <c r="AB12" s="91" t="s">
        <v>54</v>
      </c>
      <c r="AC12" s="60"/>
      <c r="AD12" s="60"/>
      <c r="AE12" s="60"/>
      <c r="AF12" s="60"/>
      <c r="AG12" s="60"/>
      <c r="AH12" s="60"/>
      <c r="AI12" s="60"/>
      <c r="AJ12" s="60"/>
      <c r="AK12" s="60"/>
    </row>
    <row r="13" spans="1:37" ht="18" customHeight="1">
      <c r="A13" s="60"/>
      <c r="B13" s="60"/>
      <c r="C13" s="60"/>
      <c r="D13" s="89"/>
      <c r="E13" s="61"/>
      <c r="F13" s="72"/>
      <c r="G13" s="286">
        <v>5940174</v>
      </c>
      <c r="H13" s="263"/>
      <c r="I13" s="90"/>
      <c r="J13" s="92">
        <v>7110</v>
      </c>
      <c r="K13" s="64"/>
      <c r="L13" s="3"/>
      <c r="M13" s="87"/>
      <c r="N13" s="87">
        <v>4003.6219999999998</v>
      </c>
      <c r="O13" s="90"/>
      <c r="P13" s="13"/>
      <c r="Q13" s="297">
        <v>4032.6970000000001</v>
      </c>
      <c r="R13" s="263"/>
      <c r="S13" s="88"/>
      <c r="T13" s="60"/>
      <c r="U13" s="60"/>
      <c r="V13" s="60"/>
      <c r="W13" s="60"/>
      <c r="X13" s="60"/>
      <c r="Y13" s="60"/>
      <c r="Z13" s="60"/>
      <c r="AA13" s="60"/>
      <c r="AB13" s="29"/>
      <c r="AC13" s="60"/>
      <c r="AD13" s="60"/>
      <c r="AE13" s="60"/>
      <c r="AF13" s="60"/>
      <c r="AG13" s="60"/>
      <c r="AH13" s="60"/>
      <c r="AI13" s="60"/>
      <c r="AJ13" s="60"/>
      <c r="AK13" s="60"/>
    </row>
    <row r="14" spans="1:37" ht="18" customHeight="1">
      <c r="A14" s="60"/>
      <c r="B14" s="60"/>
      <c r="C14" s="60"/>
      <c r="D14" s="60"/>
      <c r="E14" s="7"/>
      <c r="F14" s="76"/>
      <c r="G14" s="286">
        <v>5919911</v>
      </c>
      <c r="H14" s="263"/>
      <c r="I14" s="65" t="s">
        <v>99</v>
      </c>
      <c r="J14" s="92">
        <v>7110</v>
      </c>
      <c r="K14" s="64"/>
      <c r="L14" s="3"/>
      <c r="M14" s="87"/>
      <c r="N14" s="87">
        <v>3971.8580000000002</v>
      </c>
      <c r="O14" s="80" t="s">
        <v>95</v>
      </c>
      <c r="P14" s="13"/>
      <c r="Q14" s="297">
        <v>4000.9059999999999</v>
      </c>
      <c r="R14" s="263"/>
      <c r="S14" s="76" t="s">
        <v>95</v>
      </c>
      <c r="T14" s="60"/>
      <c r="U14" s="60"/>
      <c r="V14" s="60"/>
      <c r="W14" s="60" t="s">
        <v>54</v>
      </c>
      <c r="X14" s="60"/>
      <c r="Y14" s="60"/>
      <c r="Z14" s="60"/>
      <c r="AA14" s="60"/>
      <c r="AB14" s="29"/>
      <c r="AC14" s="60"/>
      <c r="AD14" s="60"/>
      <c r="AE14" s="60"/>
      <c r="AF14" s="60"/>
      <c r="AG14" s="60"/>
      <c r="AH14" s="60"/>
      <c r="AI14" s="60"/>
      <c r="AJ14" s="60"/>
      <c r="AK14" s="60"/>
    </row>
    <row r="15" spans="1:37" ht="18" customHeight="1">
      <c r="A15" s="60"/>
      <c r="B15" s="60"/>
      <c r="C15" s="60"/>
      <c r="D15" s="60"/>
      <c r="E15" s="7"/>
      <c r="F15" s="60"/>
      <c r="G15" s="294">
        <f>SUM(G13-G14)*1.6</f>
        <v>32420.800000000003</v>
      </c>
      <c r="H15" s="263"/>
      <c r="I15" s="76" t="s">
        <v>22</v>
      </c>
      <c r="J15" s="93">
        <f>SUM(J13-J14)*1.6</f>
        <v>0</v>
      </c>
      <c r="K15" s="63"/>
      <c r="L15" s="13" t="s">
        <v>22</v>
      </c>
      <c r="M15" s="93"/>
      <c r="N15" s="75">
        <f>(N13-N14)*1600</f>
        <v>50822.39999999947</v>
      </c>
      <c r="O15" s="90" t="s">
        <v>22</v>
      </c>
      <c r="P15" s="94"/>
      <c r="Q15" s="294">
        <f>SUM(Q13-Q14)*1600</f>
        <v>50865.600000000268</v>
      </c>
      <c r="R15" s="263"/>
      <c r="S15" s="76" t="s">
        <v>22</v>
      </c>
      <c r="T15" s="60"/>
      <c r="U15" s="60"/>
      <c r="V15" s="60"/>
      <c r="W15" s="60" t="s">
        <v>100</v>
      </c>
      <c r="X15" s="60"/>
      <c r="Y15" s="60"/>
      <c r="Z15" s="60"/>
      <c r="AA15" s="95" t="s">
        <v>14</v>
      </c>
      <c r="AB15" s="301" t="s">
        <v>101</v>
      </c>
      <c r="AC15" s="60"/>
      <c r="AD15" s="60"/>
      <c r="AE15" s="60"/>
      <c r="AF15" s="60"/>
      <c r="AG15" s="60"/>
      <c r="AH15" s="60"/>
      <c r="AI15" s="60"/>
      <c r="AJ15" s="60"/>
      <c r="AK15" s="60"/>
    </row>
    <row r="16" spans="1:37" ht="21.75" customHeight="1">
      <c r="A16" s="60"/>
      <c r="B16" s="60"/>
      <c r="C16" s="60"/>
      <c r="D16" s="60"/>
      <c r="E16" s="7"/>
      <c r="F16" s="7"/>
      <c r="G16" s="60"/>
      <c r="H16" s="76" t="s">
        <v>102</v>
      </c>
      <c r="I16" s="7"/>
      <c r="J16" s="76" t="s">
        <v>102</v>
      </c>
      <c r="K16" s="60"/>
      <c r="L16" s="60"/>
      <c r="M16" s="19"/>
      <c r="N16" s="19"/>
      <c r="O16" s="60"/>
      <c r="P16" s="60"/>
      <c r="Q16" s="76" t="s">
        <v>102</v>
      </c>
      <c r="R16" s="96" t="s">
        <v>103</v>
      </c>
      <c r="S16" s="96"/>
      <c r="T16" s="60"/>
      <c r="U16" s="60"/>
      <c r="V16" s="60"/>
      <c r="W16" s="97">
        <v>81768</v>
      </c>
      <c r="X16" s="60"/>
      <c r="Y16" s="60" t="s">
        <v>54</v>
      </c>
      <c r="Z16" s="60"/>
      <c r="AA16" s="98" t="s">
        <v>104</v>
      </c>
      <c r="AB16" s="264"/>
      <c r="AC16" s="29"/>
      <c r="AD16" s="60"/>
      <c r="AE16" s="60"/>
      <c r="AF16" s="60"/>
      <c r="AG16" s="60"/>
      <c r="AH16" s="60"/>
      <c r="AI16" s="60"/>
      <c r="AJ16" s="60"/>
      <c r="AK16" s="60"/>
    </row>
    <row r="17" spans="1:37" ht="21" customHeight="1">
      <c r="A17" s="60"/>
      <c r="B17" s="60"/>
      <c r="C17" s="60"/>
      <c r="D17" s="60"/>
      <c r="E17" s="60" t="s">
        <v>105</v>
      </c>
      <c r="F17" s="60"/>
      <c r="G17" s="60"/>
      <c r="H17" s="99"/>
      <c r="I17" s="60" t="s">
        <v>106</v>
      </c>
      <c r="J17" s="60"/>
      <c r="K17" s="60"/>
      <c r="L17" s="60"/>
      <c r="M17" s="60"/>
      <c r="N17" s="60"/>
      <c r="O17" s="60"/>
      <c r="P17" s="60"/>
      <c r="Q17" s="100"/>
      <c r="R17" s="60" t="s">
        <v>107</v>
      </c>
      <c r="S17" s="60"/>
      <c r="T17" s="98" t="s">
        <v>108</v>
      </c>
      <c r="U17" s="98" t="s">
        <v>109</v>
      </c>
      <c r="V17" s="60"/>
      <c r="W17" s="97">
        <v>77727</v>
      </c>
      <c r="X17" s="60"/>
      <c r="Y17" s="295" t="s">
        <v>110</v>
      </c>
      <c r="Z17" s="265"/>
      <c r="AA17" s="97">
        <v>853903.1</v>
      </c>
      <c r="AB17" s="101">
        <v>4030734</v>
      </c>
      <c r="AC17" s="60"/>
      <c r="AD17" s="60"/>
      <c r="AE17" s="60"/>
      <c r="AF17" s="60"/>
      <c r="AG17" s="60"/>
      <c r="AH17" s="60"/>
      <c r="AI17" s="60"/>
      <c r="AJ17" s="60"/>
      <c r="AK17" s="60"/>
    </row>
    <row r="18" spans="1:37" ht="18" customHeight="1">
      <c r="A18" s="76"/>
      <c r="B18" s="60"/>
      <c r="C18" s="60"/>
      <c r="D18" s="60"/>
      <c r="E18" s="60"/>
      <c r="F18" s="60"/>
      <c r="G18" s="60"/>
      <c r="H18" s="60"/>
      <c r="I18" s="60"/>
      <c r="J18" s="76"/>
      <c r="K18" s="60"/>
      <c r="L18" s="60"/>
      <c r="M18" s="60"/>
      <c r="N18" s="76"/>
      <c r="O18" s="60"/>
      <c r="P18" s="60"/>
      <c r="Q18" s="100"/>
      <c r="R18" s="60"/>
      <c r="S18" s="60"/>
      <c r="T18" s="102" t="s">
        <v>39</v>
      </c>
      <c r="U18" s="102" t="s">
        <v>4</v>
      </c>
      <c r="V18" s="60"/>
      <c r="W18" s="103">
        <f>SUM(W16-W17)*0.24</f>
        <v>969.83999999999992</v>
      </c>
      <c r="X18" s="60"/>
      <c r="Y18" s="104"/>
      <c r="Z18" s="60"/>
      <c r="AA18" s="97">
        <v>847142.9</v>
      </c>
      <c r="AB18" s="101">
        <v>3985483</v>
      </c>
      <c r="AC18" s="60"/>
      <c r="AD18" s="60"/>
      <c r="AE18" s="60"/>
      <c r="AF18" s="60"/>
      <c r="AG18" s="60"/>
      <c r="AH18" s="60"/>
      <c r="AI18" s="60"/>
      <c r="AJ18" s="60"/>
      <c r="AK18" s="60"/>
    </row>
    <row r="19" spans="1:37" ht="18" customHeight="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88"/>
      <c r="R19" s="60"/>
      <c r="S19" s="60"/>
      <c r="T19" s="97">
        <v>558938</v>
      </c>
      <c r="U19" s="97">
        <v>1120415</v>
      </c>
      <c r="V19" s="7"/>
      <c r="W19" s="97">
        <v>524401</v>
      </c>
      <c r="X19" s="60"/>
      <c r="Y19" s="60"/>
      <c r="Z19" s="60"/>
      <c r="AA19" s="105">
        <f>SUM(AA17-AA18)*1</f>
        <v>6760.1999999999534</v>
      </c>
      <c r="AB19" s="103">
        <f>(AB17-AB18)*0.48</f>
        <v>21720.48</v>
      </c>
      <c r="AC19" s="60"/>
      <c r="AD19" s="60"/>
      <c r="AE19" s="60"/>
      <c r="AF19" s="60"/>
      <c r="AG19" s="60"/>
      <c r="AH19" s="60"/>
      <c r="AI19" s="60"/>
      <c r="AJ19" s="60"/>
      <c r="AK19" s="60"/>
    </row>
    <row r="20" spans="1:37" ht="18" customHeight="1">
      <c r="A20" s="60"/>
      <c r="B20" s="76"/>
      <c r="C20" s="60"/>
      <c r="D20" s="60"/>
      <c r="E20" s="100"/>
      <c r="F20" s="106">
        <v>4793540</v>
      </c>
      <c r="G20" s="60" t="s">
        <v>111</v>
      </c>
      <c r="H20" s="60"/>
      <c r="I20" s="60"/>
      <c r="J20" s="286">
        <v>7038672</v>
      </c>
      <c r="K20" s="263"/>
      <c r="L20" s="107" t="s">
        <v>112</v>
      </c>
      <c r="M20" s="60"/>
      <c r="N20" s="108">
        <v>6954811</v>
      </c>
      <c r="O20" s="60" t="s">
        <v>112</v>
      </c>
      <c r="P20" s="60"/>
      <c r="Q20" s="60"/>
      <c r="R20" s="60"/>
      <c r="S20" s="60"/>
      <c r="T20" s="97">
        <v>555345</v>
      </c>
      <c r="U20" s="97">
        <v>1113219</v>
      </c>
      <c r="V20" s="7"/>
      <c r="W20" s="97">
        <v>524048</v>
      </c>
      <c r="X20" s="60"/>
      <c r="Y20" s="97">
        <v>713502</v>
      </c>
      <c r="Z20" s="60"/>
      <c r="AA20" s="97">
        <v>858055</v>
      </c>
      <c r="AB20" s="109" t="s">
        <v>113</v>
      </c>
      <c r="AC20" s="60" t="s">
        <v>48</v>
      </c>
      <c r="AD20" s="60"/>
      <c r="AE20" s="60"/>
      <c r="AF20" s="60"/>
      <c r="AG20" s="60"/>
      <c r="AH20" s="60"/>
      <c r="AI20" s="60"/>
      <c r="AJ20" s="60"/>
      <c r="AK20" s="60"/>
    </row>
    <row r="21" spans="1:37" ht="18" customHeight="1">
      <c r="A21" s="60"/>
      <c r="B21" s="76"/>
      <c r="C21" s="60"/>
      <c r="D21" s="60"/>
      <c r="E21" s="100"/>
      <c r="F21" s="106">
        <v>4732622</v>
      </c>
      <c r="G21" s="60" t="s">
        <v>114</v>
      </c>
      <c r="H21" s="60"/>
      <c r="I21" s="60"/>
      <c r="J21" s="286">
        <v>6997673</v>
      </c>
      <c r="K21" s="263"/>
      <c r="L21" s="107" t="s">
        <v>115</v>
      </c>
      <c r="M21" s="60"/>
      <c r="N21" s="108">
        <v>6914059</v>
      </c>
      <c r="O21" s="60" t="s">
        <v>115</v>
      </c>
      <c r="P21" s="60"/>
      <c r="Q21" s="60"/>
      <c r="R21" s="60"/>
      <c r="S21" s="109"/>
      <c r="T21" s="110">
        <f>SUM(T19-T20)*2</f>
        <v>7186</v>
      </c>
      <c r="U21" s="111">
        <f>SUM(U19-U20)*1</f>
        <v>7196</v>
      </c>
      <c r="V21" s="112"/>
      <c r="W21" s="103">
        <f>SUM(W19-W20)*0.24</f>
        <v>84.72</v>
      </c>
      <c r="X21" s="60"/>
      <c r="Y21" s="97">
        <v>699067</v>
      </c>
      <c r="Z21" s="104"/>
      <c r="AA21" s="97">
        <v>851270</v>
      </c>
      <c r="AB21" s="113"/>
      <c r="AC21" s="60"/>
      <c r="AD21" s="60"/>
      <c r="AE21" s="60"/>
      <c r="AF21" s="60"/>
      <c r="AG21" s="60"/>
      <c r="AH21" s="60"/>
      <c r="AI21" s="60"/>
      <c r="AJ21" s="60"/>
      <c r="AK21" s="60"/>
    </row>
    <row r="22" spans="1:37" ht="18" customHeight="1">
      <c r="A22" s="60"/>
      <c r="B22" s="60"/>
      <c r="C22" s="60"/>
      <c r="D22" s="60"/>
      <c r="E22" s="81"/>
      <c r="F22" s="114">
        <f>SUM(F20-F21)*0.625</f>
        <v>38073.75</v>
      </c>
      <c r="G22" s="60"/>
      <c r="H22" s="60"/>
      <c r="I22" s="60"/>
      <c r="J22" s="294">
        <f>SUM(J20-J21)*0.6</f>
        <v>24599.399999999998</v>
      </c>
      <c r="K22" s="263"/>
      <c r="L22" s="107" t="s">
        <v>85</v>
      </c>
      <c r="M22" s="60"/>
      <c r="N22" s="115">
        <f>SUM(N20-N21)*0.6</f>
        <v>24451.200000000001</v>
      </c>
      <c r="O22" s="60" t="s">
        <v>116</v>
      </c>
      <c r="P22" s="60"/>
      <c r="Q22" s="60"/>
      <c r="R22" s="60"/>
      <c r="S22" s="109"/>
      <c r="T22" s="100" t="s">
        <v>117</v>
      </c>
      <c r="U22" s="81">
        <f>(U21-T21)*100/U21</f>
        <v>0.13896609227348528</v>
      </c>
      <c r="V22" s="60"/>
      <c r="W22" s="116">
        <f>W21+W18</f>
        <v>1054.56</v>
      </c>
      <c r="X22" s="60"/>
      <c r="Y22" s="103">
        <f>(Y20-Y21)*0.24</f>
        <v>3464.4</v>
      </c>
      <c r="Z22" s="60"/>
      <c r="AA22" s="105">
        <f>SUM(AA20-AA21)*1</f>
        <v>6785</v>
      </c>
      <c r="AB22" s="117"/>
      <c r="AC22" s="60"/>
      <c r="AD22" s="60"/>
      <c r="AE22" s="60"/>
      <c r="AF22" s="60"/>
      <c r="AG22" s="60"/>
      <c r="AH22" s="60"/>
      <c r="AI22" s="60"/>
      <c r="AJ22" s="60"/>
      <c r="AK22" s="60"/>
    </row>
    <row r="23" spans="1:37" ht="18" customHeight="1">
      <c r="A23" s="60"/>
      <c r="B23" s="60"/>
      <c r="C23" s="60"/>
      <c r="D23" s="60"/>
      <c r="E23" s="60"/>
      <c r="F23" s="60" t="s">
        <v>118</v>
      </c>
      <c r="G23" s="60"/>
      <c r="H23" s="81"/>
      <c r="I23" s="104"/>
      <c r="J23" s="60" t="s">
        <v>119</v>
      </c>
      <c r="K23" s="60"/>
      <c r="L23" s="60"/>
      <c r="M23" s="60"/>
      <c r="N23" s="60" t="s">
        <v>119</v>
      </c>
      <c r="O23" s="99"/>
      <c r="P23" s="60"/>
      <c r="Q23" s="60"/>
      <c r="R23" s="60"/>
      <c r="S23" s="60"/>
      <c r="T23" s="60"/>
      <c r="U23" s="60" t="s">
        <v>4</v>
      </c>
      <c r="V23" s="60"/>
      <c r="W23" s="76" t="s">
        <v>120</v>
      </c>
      <c r="X23" s="60"/>
      <c r="Y23" s="60" t="s">
        <v>120</v>
      </c>
      <c r="Z23" s="60"/>
      <c r="AA23" s="81">
        <f>(AA22-AA19)*100/AA22</f>
        <v>0.36551215917533625</v>
      </c>
      <c r="AB23" s="29"/>
      <c r="AC23" s="60"/>
      <c r="AD23" s="60"/>
      <c r="AE23" s="60"/>
      <c r="AF23" s="60"/>
      <c r="AG23" s="60"/>
      <c r="AH23" s="60"/>
      <c r="AI23" s="60"/>
      <c r="AJ23" s="60"/>
      <c r="AK23" s="60"/>
    </row>
    <row r="24" spans="1:37" ht="18" customHeight="1">
      <c r="A24" s="60"/>
      <c r="B24" s="60"/>
      <c r="C24" s="60"/>
      <c r="D24" s="60"/>
      <c r="E24" s="60"/>
      <c r="F24" s="76" t="s">
        <v>102</v>
      </c>
      <c r="G24" s="60"/>
      <c r="H24" s="60"/>
      <c r="I24" s="60"/>
      <c r="J24" s="76" t="s">
        <v>121</v>
      </c>
      <c r="K24" s="60"/>
      <c r="L24" s="80"/>
      <c r="M24" s="80"/>
      <c r="N24" s="76" t="s">
        <v>121</v>
      </c>
      <c r="O24" s="60"/>
      <c r="P24" s="60"/>
      <c r="Q24" s="60"/>
      <c r="R24" s="60" t="s">
        <v>7</v>
      </c>
      <c r="S24" s="60"/>
      <c r="T24" s="60"/>
      <c r="U24" s="118" t="s">
        <v>113</v>
      </c>
      <c r="V24" s="60"/>
      <c r="W24" s="109" t="s">
        <v>113</v>
      </c>
      <c r="X24" s="60"/>
      <c r="Y24" s="109" t="s">
        <v>113</v>
      </c>
      <c r="Z24" s="60"/>
      <c r="AA24" s="109" t="s">
        <v>113</v>
      </c>
      <c r="AB24" s="29"/>
      <c r="AC24" s="60"/>
      <c r="AD24" s="60"/>
      <c r="AE24" s="60"/>
      <c r="AF24" s="60"/>
      <c r="AG24" s="60"/>
      <c r="AH24" s="60"/>
      <c r="AI24" s="60"/>
      <c r="AJ24" s="60"/>
      <c r="AK24" s="60"/>
    </row>
    <row r="25" spans="1:37" ht="18" customHeight="1">
      <c r="A25" s="60"/>
      <c r="B25" s="60"/>
      <c r="C25" s="60"/>
      <c r="D25" s="100"/>
      <c r="E25" s="60"/>
      <c r="F25" s="60"/>
      <c r="G25" s="60"/>
      <c r="H25" s="60"/>
      <c r="I25" s="100"/>
      <c r="J25" s="60"/>
      <c r="K25" s="60"/>
      <c r="L25" s="60"/>
      <c r="M25" s="60"/>
      <c r="N25" s="60"/>
      <c r="O25" s="60"/>
      <c r="P25" s="60"/>
      <c r="Q25" s="10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</row>
    <row r="26" spans="1:37" ht="18" customHeight="1">
      <c r="A26" s="60"/>
      <c r="B26" s="60"/>
      <c r="C26" s="60"/>
      <c r="D26" s="60" t="s">
        <v>122</v>
      </c>
      <c r="E26" s="60"/>
      <c r="F26" s="60"/>
      <c r="G26" s="60"/>
      <c r="H26" s="60"/>
      <c r="I26" s="100"/>
      <c r="J26" s="284"/>
      <c r="K26" s="261"/>
      <c r="L26" s="60"/>
      <c r="M26" s="60"/>
      <c r="N26" s="60"/>
      <c r="O26" s="60"/>
      <c r="P26" s="60"/>
      <c r="Q26" s="100"/>
      <c r="R26" s="60"/>
      <c r="S26" s="60"/>
      <c r="T26" s="60"/>
      <c r="U26" s="106">
        <v>879090</v>
      </c>
      <c r="V26" s="60"/>
      <c r="W26" s="60"/>
      <c r="X26" s="60"/>
      <c r="Y26" s="106">
        <v>350312</v>
      </c>
      <c r="Z26" s="60" t="s">
        <v>123</v>
      </c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</row>
    <row r="27" spans="1:37" ht="18" customHeight="1">
      <c r="A27" s="60"/>
      <c r="B27" s="60"/>
      <c r="C27" s="60"/>
      <c r="D27" s="61" t="s">
        <v>124</v>
      </c>
      <c r="E27" s="60"/>
      <c r="F27" s="60"/>
      <c r="G27" s="60"/>
      <c r="H27" s="60"/>
      <c r="I27" s="106">
        <v>904042</v>
      </c>
      <c r="J27" s="60" t="s">
        <v>122</v>
      </c>
      <c r="K27" s="29"/>
      <c r="L27" s="29"/>
      <c r="M27" s="60"/>
      <c r="N27" s="60"/>
      <c r="O27" s="60"/>
      <c r="P27" s="96"/>
      <c r="Q27" s="106">
        <v>885071</v>
      </c>
      <c r="R27" s="118" t="s">
        <v>122</v>
      </c>
      <c r="S27" s="60"/>
      <c r="T27" s="60"/>
      <c r="U27" s="106">
        <v>861040</v>
      </c>
      <c r="V27" s="61" t="s">
        <v>123</v>
      </c>
      <c r="W27" s="60"/>
      <c r="X27" s="120"/>
      <c r="Y27" s="106">
        <v>338930</v>
      </c>
      <c r="Z27" s="60" t="s">
        <v>125</v>
      </c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</row>
    <row r="28" spans="1:37" ht="18" customHeight="1">
      <c r="A28" s="60"/>
      <c r="B28" s="7"/>
      <c r="C28" s="60"/>
      <c r="D28" s="106">
        <v>538390</v>
      </c>
      <c r="E28" s="268"/>
      <c r="F28" s="261"/>
      <c r="G28" s="60"/>
      <c r="H28" s="60"/>
      <c r="I28" s="106">
        <v>850019</v>
      </c>
      <c r="J28" s="61" t="s">
        <v>126</v>
      </c>
      <c r="K28" s="29"/>
      <c r="L28" s="29"/>
      <c r="M28" s="60"/>
      <c r="N28" s="60"/>
      <c r="O28" s="60"/>
      <c r="P28" s="121"/>
      <c r="Q28" s="106">
        <v>840861</v>
      </c>
      <c r="R28" s="122" t="s">
        <v>127</v>
      </c>
      <c r="S28" s="60"/>
      <c r="T28" s="60"/>
      <c r="U28" s="114">
        <f>SUM(U26-U27)*0.375</f>
        <v>6768.75</v>
      </c>
      <c r="V28" s="123" t="s">
        <v>128</v>
      </c>
      <c r="W28" s="60"/>
      <c r="X28" s="60"/>
      <c r="Y28" s="124">
        <f>SUM(Y26-Y27)*0.6</f>
        <v>6829.2</v>
      </c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 spans="1:37" ht="18" customHeight="1">
      <c r="A29" s="60"/>
      <c r="B29" s="7"/>
      <c r="C29" s="60"/>
      <c r="D29" s="106">
        <v>493008</v>
      </c>
      <c r="E29" s="268"/>
      <c r="F29" s="261"/>
      <c r="G29" s="60"/>
      <c r="H29" s="60"/>
      <c r="I29" s="124">
        <f>(I27-I28)*0.36</f>
        <v>19448.28</v>
      </c>
      <c r="J29" s="60" t="s">
        <v>129</v>
      </c>
      <c r="K29" s="29"/>
      <c r="L29" s="29"/>
      <c r="M29" s="60"/>
      <c r="N29" s="60"/>
      <c r="O29" s="60"/>
      <c r="P29" s="121"/>
      <c r="Q29" s="110">
        <f>(Q27-Q28)*0.37</f>
        <v>16357.699999999999</v>
      </c>
      <c r="R29" s="96" t="s">
        <v>130</v>
      </c>
      <c r="S29" s="60"/>
      <c r="T29" s="60"/>
      <c r="U29" s="76" t="s">
        <v>131</v>
      </c>
      <c r="V29" s="60" t="s">
        <v>132</v>
      </c>
      <c r="W29" s="60"/>
      <c r="X29" s="60"/>
      <c r="Y29" s="60" t="s">
        <v>133</v>
      </c>
      <c r="Z29" s="76" t="s">
        <v>131</v>
      </c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 spans="1:37" ht="18" customHeight="1">
      <c r="A30" s="60"/>
      <c r="B30" s="112"/>
      <c r="C30" s="60"/>
      <c r="D30" s="125">
        <f>(D28-D29)*0.24</f>
        <v>10891.68</v>
      </c>
      <c r="E30" s="268"/>
      <c r="F30" s="261"/>
      <c r="G30" s="126"/>
      <c r="H30" s="7"/>
      <c r="I30" s="104"/>
      <c r="J30" s="104"/>
      <c r="K30" s="112"/>
      <c r="L30" s="126"/>
      <c r="M30" s="60"/>
      <c r="N30" s="60"/>
      <c r="O30" s="60"/>
      <c r="P30" s="96"/>
      <c r="Q30" s="96" t="s">
        <v>131</v>
      </c>
      <c r="R30" s="60"/>
      <c r="S30" s="7"/>
      <c r="T30" s="7"/>
      <c r="U30" s="7"/>
      <c r="V30" s="7"/>
      <c r="W30" s="60"/>
      <c r="X30" s="7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 spans="1:37" ht="18" customHeight="1">
      <c r="A31" s="60"/>
      <c r="B31" s="60"/>
      <c r="C31" s="60"/>
      <c r="D31" s="60" t="s">
        <v>120</v>
      </c>
      <c r="E31" s="60" t="s">
        <v>102</v>
      </c>
      <c r="F31" s="60"/>
      <c r="G31" s="60"/>
      <c r="H31" s="60"/>
      <c r="I31" s="127" t="s">
        <v>102</v>
      </c>
      <c r="J31" s="60"/>
      <c r="K31" s="60"/>
      <c r="L31" s="60"/>
      <c r="M31" s="60"/>
      <c r="N31" s="60"/>
      <c r="O31" s="60"/>
      <c r="P31" s="60"/>
      <c r="Q31" s="60"/>
      <c r="R31" s="80"/>
      <c r="S31" s="80"/>
      <c r="T31" s="80"/>
      <c r="U31" s="8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</row>
    <row r="32" spans="1:37" ht="18" customHeight="1">
      <c r="A32" s="60"/>
      <c r="B32" s="109" t="s">
        <v>134</v>
      </c>
      <c r="C32" s="60"/>
      <c r="D32" s="76" t="s">
        <v>135</v>
      </c>
      <c r="E32" s="76"/>
      <c r="F32" s="76"/>
      <c r="G32" s="76"/>
      <c r="H32" s="76" t="s">
        <v>54</v>
      </c>
      <c r="I32" s="76"/>
      <c r="J32" s="76" t="s">
        <v>54</v>
      </c>
      <c r="K32" s="76"/>
      <c r="L32" s="76" t="s">
        <v>84</v>
      </c>
      <c r="M32" s="76"/>
      <c r="N32" s="76" t="s">
        <v>84</v>
      </c>
      <c r="O32" s="76"/>
      <c r="P32" s="76" t="s">
        <v>136</v>
      </c>
      <c r="Q32" s="76"/>
      <c r="R32" s="76" t="s">
        <v>136</v>
      </c>
      <c r="S32" s="76"/>
      <c r="T32" s="76"/>
      <c r="U32" s="76" t="s">
        <v>54</v>
      </c>
      <c r="V32" s="76"/>
      <c r="W32" s="76" t="s">
        <v>14</v>
      </c>
      <c r="X32" s="76"/>
      <c r="Y32" s="7"/>
      <c r="Z32" s="76"/>
      <c r="AA32" s="76" t="s">
        <v>84</v>
      </c>
      <c r="AB32" s="76"/>
      <c r="AC32" s="60"/>
      <c r="AD32" s="60"/>
      <c r="AE32" s="60"/>
      <c r="AF32" s="60"/>
      <c r="AG32" s="60"/>
      <c r="AH32" s="60"/>
      <c r="AI32" s="60"/>
      <c r="AJ32" s="60"/>
      <c r="AK32" s="60"/>
    </row>
    <row r="33" spans="1:37" ht="18" customHeight="1">
      <c r="A33" s="60"/>
      <c r="B33" s="109" t="s">
        <v>137</v>
      </c>
      <c r="C33" s="60"/>
      <c r="D33" s="76" t="s">
        <v>138</v>
      </c>
      <c r="E33" s="76"/>
      <c r="F33" s="76" t="s">
        <v>139</v>
      </c>
      <c r="G33" s="76"/>
      <c r="H33" s="76" t="s">
        <v>15</v>
      </c>
      <c r="I33" s="76"/>
      <c r="J33" s="76" t="s">
        <v>140</v>
      </c>
      <c r="K33" s="76"/>
      <c r="L33" s="76" t="s">
        <v>141</v>
      </c>
      <c r="M33" s="76"/>
      <c r="N33" s="76" t="s">
        <v>39</v>
      </c>
      <c r="O33" s="76"/>
      <c r="P33" s="76" t="s">
        <v>139</v>
      </c>
      <c r="Q33" s="76"/>
      <c r="R33" s="76" t="s">
        <v>139</v>
      </c>
      <c r="S33" s="76"/>
      <c r="T33" s="76"/>
      <c r="U33" s="76" t="s">
        <v>140</v>
      </c>
      <c r="V33" s="76"/>
      <c r="W33" s="76" t="s">
        <v>41</v>
      </c>
      <c r="X33" s="76"/>
      <c r="Y33" s="76" t="s">
        <v>41</v>
      </c>
      <c r="Z33" s="76"/>
      <c r="AA33" s="76" t="s">
        <v>39</v>
      </c>
      <c r="AB33" s="76"/>
      <c r="AC33" s="60"/>
      <c r="AD33" s="60"/>
      <c r="AE33" s="60"/>
      <c r="AF33" s="60"/>
      <c r="AG33" s="60"/>
      <c r="AH33" s="60"/>
      <c r="AI33" s="60"/>
      <c r="AJ33" s="60"/>
      <c r="AK33" s="60"/>
    </row>
    <row r="34" spans="1:37" ht="18" customHeight="1">
      <c r="A34" s="60"/>
      <c r="B34" s="100">
        <v>383</v>
      </c>
      <c r="C34" s="100"/>
      <c r="D34" s="100">
        <v>8</v>
      </c>
      <c r="E34" s="100"/>
      <c r="F34" s="100">
        <v>4</v>
      </c>
      <c r="G34" s="100"/>
      <c r="H34" s="100">
        <v>7</v>
      </c>
      <c r="I34" s="100"/>
      <c r="J34" s="100">
        <v>6</v>
      </c>
      <c r="K34" s="100"/>
      <c r="L34" s="100">
        <v>3</v>
      </c>
      <c r="M34" s="100"/>
      <c r="N34" s="100">
        <v>10</v>
      </c>
      <c r="O34" s="100"/>
      <c r="P34" s="100">
        <v>9</v>
      </c>
      <c r="Q34" s="100"/>
      <c r="R34" s="100">
        <v>12</v>
      </c>
      <c r="S34" s="100"/>
      <c r="T34" s="100"/>
      <c r="U34" s="100">
        <v>16</v>
      </c>
      <c r="V34" s="100"/>
      <c r="W34" s="100">
        <v>11</v>
      </c>
      <c r="X34" s="100"/>
      <c r="Y34" s="100">
        <v>1</v>
      </c>
      <c r="Z34" s="100"/>
      <c r="AA34" s="100">
        <v>19</v>
      </c>
      <c r="AB34" s="60"/>
      <c r="AC34" s="60"/>
      <c r="AD34" s="60"/>
      <c r="AE34" s="60"/>
      <c r="AF34" s="60"/>
      <c r="AG34" s="60"/>
      <c r="AH34" s="60"/>
      <c r="AI34" s="60"/>
      <c r="AJ34" s="60"/>
      <c r="AK34" s="60"/>
    </row>
    <row r="35" spans="1:37" ht="18" customHeight="1">
      <c r="A35" s="60"/>
      <c r="B35" s="128">
        <v>76192.5</v>
      </c>
      <c r="C35" s="128"/>
      <c r="D35" s="129">
        <v>61.116</v>
      </c>
      <c r="E35" s="130"/>
      <c r="F35" s="131">
        <v>1952.8869999999999</v>
      </c>
      <c r="G35" s="130"/>
      <c r="H35" s="132">
        <v>248490.7</v>
      </c>
      <c r="I35" s="130"/>
      <c r="J35" s="133">
        <v>882.91200000000003</v>
      </c>
      <c r="K35" s="130"/>
      <c r="L35" s="129">
        <v>17349.8</v>
      </c>
      <c r="M35" s="130"/>
      <c r="N35" s="132">
        <v>295710.8</v>
      </c>
      <c r="O35" s="134"/>
      <c r="P35" s="133">
        <v>2548.23</v>
      </c>
      <c r="Q35" s="16"/>
      <c r="R35" s="133">
        <v>1941.6</v>
      </c>
      <c r="S35" s="135"/>
      <c r="T35" s="16"/>
      <c r="U35" s="133">
        <v>2111.0970000000002</v>
      </c>
      <c r="V35" s="130"/>
      <c r="W35" s="132">
        <v>111007.5</v>
      </c>
      <c r="X35" s="130"/>
      <c r="Y35" s="136">
        <v>271064.59999999998</v>
      </c>
      <c r="Z35" s="130"/>
      <c r="AA35" s="137">
        <v>177636.4</v>
      </c>
      <c r="AB35" s="60"/>
      <c r="AC35" s="60"/>
      <c r="AD35" s="60"/>
      <c r="AE35" s="60"/>
      <c r="AF35" s="60"/>
      <c r="AG35" s="60"/>
      <c r="AH35" s="60"/>
      <c r="AI35" s="60"/>
      <c r="AJ35" s="60"/>
      <c r="AK35" s="60"/>
    </row>
    <row r="36" spans="1:37" ht="18" customHeight="1">
      <c r="A36" s="60"/>
      <c r="B36" s="128">
        <v>75861.5</v>
      </c>
      <c r="C36" s="128"/>
      <c r="D36" s="129">
        <v>46.325000000000003</v>
      </c>
      <c r="E36" s="130"/>
      <c r="F36" s="131">
        <v>1916.7650000000001</v>
      </c>
      <c r="G36" s="130"/>
      <c r="H36" s="132">
        <v>246592.2</v>
      </c>
      <c r="I36" s="130"/>
      <c r="J36" s="133">
        <v>844.26099999999997</v>
      </c>
      <c r="K36" s="130"/>
      <c r="L36" s="129">
        <v>17349.8</v>
      </c>
      <c r="M36" s="130"/>
      <c r="N36" s="132">
        <v>292027.8</v>
      </c>
      <c r="O36" s="134"/>
      <c r="P36" s="133">
        <v>2545.7399999999998</v>
      </c>
      <c r="Q36" s="16"/>
      <c r="R36" s="133">
        <v>1927.08</v>
      </c>
      <c r="S36" s="135"/>
      <c r="T36" s="16"/>
      <c r="U36" s="133">
        <v>2076.6799999999998</v>
      </c>
      <c r="V36" s="130"/>
      <c r="W36" s="132">
        <v>110104.3</v>
      </c>
      <c r="X36" s="130"/>
      <c r="Y36" s="136">
        <v>269582</v>
      </c>
      <c r="Z36" s="130"/>
      <c r="AA36" s="137">
        <v>176316.6</v>
      </c>
      <c r="AB36" s="60"/>
      <c r="AC36" s="60"/>
      <c r="AD36" s="60"/>
      <c r="AE36" s="60"/>
      <c r="AF36" s="60"/>
      <c r="AG36" s="60"/>
      <c r="AH36" s="60"/>
      <c r="AI36" s="60"/>
      <c r="AJ36" s="60"/>
      <c r="AK36" s="60"/>
    </row>
    <row r="37" spans="1:37" ht="18" customHeight="1">
      <c r="A37" s="60"/>
      <c r="B37" s="138">
        <f>SUM(B35-B36)*1</f>
        <v>331</v>
      </c>
      <c r="C37" s="138"/>
      <c r="D37" s="138">
        <f>SUM(D35-D36)*18</f>
        <v>266.23799999999994</v>
      </c>
      <c r="E37" s="139"/>
      <c r="F37" s="140">
        <f>SUM(F35-F36)*60</f>
        <v>2167.3199999999906</v>
      </c>
      <c r="G37" s="139"/>
      <c r="H37" s="141">
        <f>SUM(H35-H36)*1</f>
        <v>1898.5</v>
      </c>
      <c r="I37" s="139"/>
      <c r="J37" s="140">
        <f>SUM(J35-J36)*60</f>
        <v>2319.060000000004</v>
      </c>
      <c r="K37" s="139"/>
      <c r="L37" s="140">
        <f>SUM(L35-L36)*2</f>
        <v>0</v>
      </c>
      <c r="M37" s="139"/>
      <c r="N37" s="140">
        <f>SUM(N35-N36)*2</f>
        <v>7366</v>
      </c>
      <c r="O37" s="142"/>
      <c r="P37" s="140">
        <f>SUM(P35-P36)*60</f>
        <v>149.40000000001419</v>
      </c>
      <c r="Q37" s="143"/>
      <c r="R37" s="140">
        <f>SUM(R35-R36)*60</f>
        <v>871.19999999999891</v>
      </c>
      <c r="S37" s="143"/>
      <c r="T37" s="143"/>
      <c r="U37" s="144">
        <f>SUM(U35-U36)*60</f>
        <v>2065.0200000000223</v>
      </c>
      <c r="V37" s="145"/>
      <c r="W37" s="146">
        <f>SUM(W35-W36)*2</f>
        <v>1806.3999999999942</v>
      </c>
      <c r="X37" s="145"/>
      <c r="Y37" s="146">
        <f>SUM(Y35-Y36)*2</f>
        <v>2965.1999999999534</v>
      </c>
      <c r="Z37" s="145"/>
      <c r="AA37" s="146">
        <f>SUM(AA35-AA36)*2</f>
        <v>2639.5999999999767</v>
      </c>
      <c r="AB37" s="60"/>
      <c r="AC37" s="60"/>
      <c r="AD37" s="60"/>
      <c r="AE37" s="60"/>
      <c r="AF37" s="60"/>
      <c r="AG37" s="60"/>
      <c r="AH37" s="60"/>
      <c r="AI37" s="60"/>
      <c r="AJ37" s="60"/>
      <c r="AK37" s="60"/>
    </row>
    <row r="38" spans="1:37" ht="18" customHeight="1">
      <c r="A38" s="4"/>
      <c r="B38" s="4" t="s">
        <v>142</v>
      </c>
      <c r="C38" s="14"/>
      <c r="D38" s="11" t="s">
        <v>143</v>
      </c>
      <c r="E38" s="8"/>
      <c r="F38" s="11" t="s">
        <v>144</v>
      </c>
      <c r="G38" s="8"/>
      <c r="H38" s="11" t="s">
        <v>145</v>
      </c>
      <c r="I38" s="147"/>
      <c r="J38" s="148" t="s">
        <v>146</v>
      </c>
      <c r="K38" s="8"/>
      <c r="L38" s="11" t="s">
        <v>147</v>
      </c>
      <c r="M38" s="8"/>
      <c r="N38" s="8" t="s">
        <v>148</v>
      </c>
      <c r="O38" s="8"/>
      <c r="P38" s="11" t="s">
        <v>149</v>
      </c>
      <c r="Q38" s="8"/>
      <c r="R38" s="8" t="s">
        <v>150</v>
      </c>
      <c r="S38" s="149"/>
      <c r="T38" s="8"/>
      <c r="U38" s="11" t="s">
        <v>151</v>
      </c>
      <c r="V38" s="8"/>
      <c r="W38" s="8" t="s">
        <v>152</v>
      </c>
      <c r="X38" s="8"/>
      <c r="Y38" s="150" t="s">
        <v>153</v>
      </c>
      <c r="Z38" s="8"/>
      <c r="AA38" s="8" t="s">
        <v>154</v>
      </c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 ht="26.25" customHeight="1">
      <c r="A39" s="22"/>
      <c r="B39" s="22" t="s">
        <v>155</v>
      </c>
      <c r="C39" s="151"/>
      <c r="D39" s="6"/>
      <c r="E39" s="22"/>
      <c r="F39" s="6" t="s">
        <v>156</v>
      </c>
      <c r="G39" s="22"/>
      <c r="H39" s="26" t="s">
        <v>113</v>
      </c>
      <c r="I39" s="152"/>
      <c r="J39" s="6" t="s">
        <v>156</v>
      </c>
      <c r="K39" s="22"/>
      <c r="L39" s="26" t="s">
        <v>157</v>
      </c>
      <c r="M39" s="22"/>
      <c r="N39" s="22" t="s">
        <v>158</v>
      </c>
      <c r="O39" s="22"/>
      <c r="P39" s="26" t="s">
        <v>113</v>
      </c>
      <c r="Q39" s="22"/>
      <c r="R39" s="22" t="s">
        <v>113</v>
      </c>
      <c r="S39" s="22"/>
      <c r="T39" s="22"/>
      <c r="U39" s="153" t="s">
        <v>156</v>
      </c>
      <c r="V39" s="22"/>
      <c r="W39" s="22" t="s">
        <v>17</v>
      </c>
      <c r="X39" s="22"/>
      <c r="Y39" s="153" t="s">
        <v>159</v>
      </c>
      <c r="Z39" s="22"/>
      <c r="AA39" s="26" t="s">
        <v>113</v>
      </c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spans="1:37" ht="18" customHeight="1">
      <c r="A40" s="60"/>
      <c r="B40" s="60"/>
      <c r="C40" s="60"/>
      <c r="D40" s="60"/>
      <c r="E40" s="60"/>
      <c r="F40" s="60"/>
      <c r="G40" s="60"/>
      <c r="H40" s="7"/>
      <c r="I40" s="60"/>
      <c r="J40" s="60"/>
      <c r="K40" s="60"/>
      <c r="L40" s="60"/>
      <c r="M40" s="154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26" t="s">
        <v>113</v>
      </c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</row>
    <row r="41" spans="1:37" ht="18" customHeight="1">
      <c r="A41" s="60"/>
      <c r="B41" s="13" t="s">
        <v>54</v>
      </c>
      <c r="C41" s="3"/>
      <c r="D41" s="13" t="s">
        <v>54</v>
      </c>
      <c r="E41" s="3"/>
      <c r="F41" s="13" t="s">
        <v>14</v>
      </c>
      <c r="G41" s="13"/>
      <c r="H41" s="13" t="s">
        <v>160</v>
      </c>
      <c r="I41" s="13" t="s">
        <v>160</v>
      </c>
      <c r="J41" s="13" t="s">
        <v>54</v>
      </c>
      <c r="K41" s="13"/>
      <c r="L41" s="13" t="s">
        <v>54</v>
      </c>
      <c r="M41" s="13" t="s">
        <v>54</v>
      </c>
      <c r="N41" s="13" t="s">
        <v>54</v>
      </c>
      <c r="O41" s="273"/>
      <c r="P41" s="25" t="s">
        <v>14</v>
      </c>
      <c r="Q41" s="25" t="s">
        <v>54</v>
      </c>
      <c r="R41" s="25" t="s">
        <v>54</v>
      </c>
      <c r="S41" s="25" t="s">
        <v>54</v>
      </c>
      <c r="T41" s="46"/>
      <c r="U41" s="25" t="s">
        <v>54</v>
      </c>
      <c r="V41" s="25" t="s">
        <v>54</v>
      </c>
      <c r="W41" s="25" t="s">
        <v>54</v>
      </c>
      <c r="X41" s="25" t="s">
        <v>54</v>
      </c>
      <c r="Y41" s="25" t="s">
        <v>54</v>
      </c>
      <c r="Z41" s="3"/>
      <c r="AA41" s="25" t="s">
        <v>54</v>
      </c>
      <c r="AB41" s="25" t="s">
        <v>54</v>
      </c>
      <c r="AC41" s="25" t="s">
        <v>54</v>
      </c>
      <c r="AD41" s="25" t="s">
        <v>54</v>
      </c>
      <c r="AE41" s="25" t="s">
        <v>54</v>
      </c>
      <c r="AF41" s="25" t="s">
        <v>54</v>
      </c>
      <c r="AG41" s="155" t="s">
        <v>54</v>
      </c>
      <c r="AH41" s="98"/>
      <c r="AI41" s="29"/>
      <c r="AJ41" s="60"/>
      <c r="AK41" s="60"/>
    </row>
    <row r="42" spans="1:37" ht="18" customHeight="1">
      <c r="A42" s="60"/>
      <c r="B42" s="60" t="s">
        <v>140</v>
      </c>
      <c r="C42" s="60"/>
      <c r="D42" s="60" t="s">
        <v>161</v>
      </c>
      <c r="E42" s="60"/>
      <c r="F42" s="60" t="s">
        <v>39</v>
      </c>
      <c r="G42" s="76"/>
      <c r="H42" s="60" t="s">
        <v>4</v>
      </c>
      <c r="I42" s="60" t="s">
        <v>140</v>
      </c>
      <c r="J42" s="60" t="s">
        <v>140</v>
      </c>
      <c r="K42" s="76"/>
      <c r="L42" s="60" t="s">
        <v>140</v>
      </c>
      <c r="M42" s="60" t="s">
        <v>162</v>
      </c>
      <c r="N42" s="60" t="s">
        <v>140</v>
      </c>
      <c r="O42" s="265"/>
      <c r="P42" s="61" t="s">
        <v>163</v>
      </c>
      <c r="Q42" s="60" t="s">
        <v>164</v>
      </c>
      <c r="R42" s="60" t="s">
        <v>140</v>
      </c>
      <c r="S42" s="60" t="s">
        <v>163</v>
      </c>
      <c r="T42" s="60"/>
      <c r="U42" s="60" t="s">
        <v>39</v>
      </c>
      <c r="V42" s="60" t="s">
        <v>140</v>
      </c>
      <c r="W42" s="60" t="s">
        <v>39</v>
      </c>
      <c r="X42" s="60" t="s">
        <v>164</v>
      </c>
      <c r="Y42" s="60" t="s">
        <v>39</v>
      </c>
      <c r="Z42" s="60"/>
      <c r="AA42" s="60" t="s">
        <v>165</v>
      </c>
      <c r="AB42" s="60" t="s">
        <v>166</v>
      </c>
      <c r="AC42" s="60" t="s">
        <v>164</v>
      </c>
      <c r="AD42" s="60" t="s">
        <v>164</v>
      </c>
      <c r="AE42" s="60" t="s">
        <v>140</v>
      </c>
      <c r="AF42" s="60" t="s">
        <v>140</v>
      </c>
      <c r="AG42" s="156" t="s">
        <v>140</v>
      </c>
      <c r="AH42" s="157"/>
      <c r="AI42" s="29"/>
      <c r="AJ42" s="60"/>
      <c r="AK42" s="60"/>
    </row>
    <row r="43" spans="1:37" ht="33.75" customHeight="1">
      <c r="A43" s="60"/>
      <c r="B43" s="7">
        <v>27</v>
      </c>
      <c r="C43" s="60"/>
      <c r="D43" s="7">
        <v>26</v>
      </c>
      <c r="E43" s="60"/>
      <c r="F43" s="7">
        <v>24</v>
      </c>
      <c r="G43" s="60"/>
      <c r="H43" s="100">
        <v>20</v>
      </c>
      <c r="I43" s="100">
        <v>28</v>
      </c>
      <c r="J43" s="100">
        <v>29</v>
      </c>
      <c r="K43" s="100"/>
      <c r="L43" s="100">
        <v>30</v>
      </c>
      <c r="M43" s="100">
        <v>18</v>
      </c>
      <c r="N43" s="100">
        <v>17</v>
      </c>
      <c r="O43" s="158"/>
      <c r="P43" s="159">
        <v>15</v>
      </c>
      <c r="Q43" s="100">
        <v>14</v>
      </c>
      <c r="R43" s="100">
        <v>31</v>
      </c>
      <c r="S43" s="100">
        <v>13</v>
      </c>
      <c r="T43" s="100"/>
      <c r="U43" s="100">
        <v>21</v>
      </c>
      <c r="V43" s="100">
        <v>22</v>
      </c>
      <c r="W43" s="100">
        <v>23</v>
      </c>
      <c r="X43" s="100">
        <v>34</v>
      </c>
      <c r="Y43" s="100">
        <v>25</v>
      </c>
      <c r="Z43" s="60"/>
      <c r="AA43" s="100">
        <v>32</v>
      </c>
      <c r="AB43" s="11">
        <v>33</v>
      </c>
      <c r="AC43" s="11">
        <v>36</v>
      </c>
      <c r="AD43" s="9">
        <v>37</v>
      </c>
      <c r="AE43" s="9">
        <v>38</v>
      </c>
      <c r="AF43" s="9">
        <v>39</v>
      </c>
      <c r="AG43" s="9">
        <v>40</v>
      </c>
      <c r="AH43" s="11"/>
      <c r="AI43" s="29"/>
      <c r="AJ43" s="60"/>
      <c r="AK43" s="60"/>
    </row>
    <row r="44" spans="1:37" ht="18" customHeight="1">
      <c r="A44" s="60"/>
      <c r="B44" s="160">
        <v>1749.0170000000001</v>
      </c>
      <c r="C44" s="161"/>
      <c r="D44" s="160">
        <v>756.27200000000005</v>
      </c>
      <c r="E44" s="162"/>
      <c r="F44" s="163">
        <v>60583.4</v>
      </c>
      <c r="G44" s="164"/>
      <c r="H44" s="165">
        <v>379.84699999999998</v>
      </c>
      <c r="I44" s="160">
        <v>745.64700000000005</v>
      </c>
      <c r="J44" s="166">
        <v>1705.825</v>
      </c>
      <c r="K44" s="109"/>
      <c r="L44" s="167">
        <v>1654.6679999999999</v>
      </c>
      <c r="M44" s="168">
        <v>1924647</v>
      </c>
      <c r="N44" s="169">
        <v>376.39499999999998</v>
      </c>
      <c r="O44" s="170"/>
      <c r="P44" s="171">
        <v>4624825</v>
      </c>
      <c r="Q44" s="172">
        <v>49401.7</v>
      </c>
      <c r="R44" s="173">
        <v>992.04700000000003</v>
      </c>
      <c r="S44" s="146">
        <v>1619943</v>
      </c>
      <c r="T44" s="60"/>
      <c r="U44" s="174">
        <v>74614</v>
      </c>
      <c r="V44" s="166">
        <v>2688.48</v>
      </c>
      <c r="W44" s="174">
        <v>46859.9</v>
      </c>
      <c r="X44" s="175">
        <v>369596.3</v>
      </c>
      <c r="Y44" s="174">
        <v>8055.2</v>
      </c>
      <c r="Z44" s="60"/>
      <c r="AA44" s="176">
        <v>2402.4639999999999</v>
      </c>
      <c r="AB44" s="174">
        <v>161.4</v>
      </c>
      <c r="AC44" s="174">
        <v>441572.8</v>
      </c>
      <c r="AD44" s="174">
        <v>506435.7</v>
      </c>
      <c r="AE44" s="174">
        <v>99.108999999999995</v>
      </c>
      <c r="AF44" s="174">
        <v>186.22300000000001</v>
      </c>
      <c r="AG44" s="174">
        <v>78.8</v>
      </c>
      <c r="AH44" s="29"/>
      <c r="AI44" s="29"/>
      <c r="AJ44" s="60"/>
      <c r="AK44" s="60"/>
    </row>
    <row r="45" spans="1:37" ht="18" customHeight="1">
      <c r="A45" s="60"/>
      <c r="B45" s="160">
        <v>1726.2729999999999</v>
      </c>
      <c r="C45" s="161"/>
      <c r="D45" s="160">
        <v>744.38800000000003</v>
      </c>
      <c r="E45" s="162"/>
      <c r="F45" s="163">
        <v>60341.1</v>
      </c>
      <c r="G45" s="164"/>
      <c r="H45" s="165">
        <v>364.51100000000002</v>
      </c>
      <c r="I45" s="160">
        <v>731.95699999999999</v>
      </c>
      <c r="J45" s="166">
        <v>1670.8209999999999</v>
      </c>
      <c r="K45" s="109"/>
      <c r="L45" s="167">
        <v>1624.0409999999999</v>
      </c>
      <c r="M45" s="168">
        <v>1887873</v>
      </c>
      <c r="N45" s="169">
        <v>344.113</v>
      </c>
      <c r="O45" s="170"/>
      <c r="P45" s="171">
        <v>4605959</v>
      </c>
      <c r="Q45" s="172">
        <v>47481.7</v>
      </c>
      <c r="R45" s="173">
        <v>983.30700000000002</v>
      </c>
      <c r="S45" s="146">
        <v>1587626</v>
      </c>
      <c r="T45" s="60"/>
      <c r="U45" s="174">
        <v>74614</v>
      </c>
      <c r="V45" s="166">
        <v>2650.0940000000001</v>
      </c>
      <c r="W45" s="174">
        <v>46810.8</v>
      </c>
      <c r="X45" s="175">
        <v>360102.7</v>
      </c>
      <c r="Y45" s="174">
        <v>8055.2</v>
      </c>
      <c r="Z45" s="60"/>
      <c r="AA45" s="176">
        <v>2350.326</v>
      </c>
      <c r="AB45" s="174">
        <v>136.6</v>
      </c>
      <c r="AC45" s="174">
        <v>423018.2</v>
      </c>
      <c r="AD45" s="174">
        <v>475799.5</v>
      </c>
      <c r="AE45" s="174">
        <v>78.018000000000001</v>
      </c>
      <c r="AF45" s="174">
        <v>143.78</v>
      </c>
      <c r="AG45" s="174">
        <v>50.3</v>
      </c>
      <c r="AH45" s="29"/>
      <c r="AI45" s="29"/>
      <c r="AJ45" s="60"/>
      <c r="AK45" s="60"/>
    </row>
    <row r="46" spans="1:37" ht="18" customHeight="1">
      <c r="A46" s="60"/>
      <c r="B46" s="177">
        <f>SUM(B44-B45)*60</f>
        <v>1364.6400000000085</v>
      </c>
      <c r="C46" s="178"/>
      <c r="D46" s="177">
        <f>SUM(D44-D45)*60</f>
        <v>713.04000000000087</v>
      </c>
      <c r="E46" s="179"/>
      <c r="F46" s="177">
        <f>SUM(F44-F45)*2</f>
        <v>484.60000000000582</v>
      </c>
      <c r="G46" s="180"/>
      <c r="H46" s="177">
        <f>(H44-H45)*60</f>
        <v>920.15999999999735</v>
      </c>
      <c r="I46" s="177">
        <f t="shared" ref="I46:J46" si="0">SUM(I44-I45)*60</f>
        <v>821.40000000000327</v>
      </c>
      <c r="J46" s="181">
        <f t="shared" si="0"/>
        <v>2100.240000000008</v>
      </c>
      <c r="K46" s="142"/>
      <c r="L46" s="181">
        <f>SUM(L44-L45)*60</f>
        <v>1837.6199999999972</v>
      </c>
      <c r="M46" s="181">
        <f>SUM(M44-M45)*0.06</f>
        <v>2206.44</v>
      </c>
      <c r="N46" s="177">
        <f>(N44-N45)*60</f>
        <v>1936.9199999999989</v>
      </c>
      <c r="O46" s="182"/>
      <c r="P46" s="183">
        <f>SUM(P44-P45)*0.12</f>
        <v>2263.92</v>
      </c>
      <c r="Q46" s="184">
        <f>(Q44-Q45)*0.06</f>
        <v>115.19999999999999</v>
      </c>
      <c r="R46" s="140">
        <f>SUM(R44-R45)*60</f>
        <v>524.40000000000055</v>
      </c>
      <c r="S46" s="140">
        <f>(S44-S45)*0.12</f>
        <v>3878.04</v>
      </c>
      <c r="T46" s="60"/>
      <c r="U46" s="140">
        <f>(U44-U45)*2</f>
        <v>0</v>
      </c>
      <c r="V46" s="181">
        <f>(V44-V45)*60</f>
        <v>2303.159999999998</v>
      </c>
      <c r="W46" s="140">
        <f>(W44-W45)*2</f>
        <v>98.19999999999709</v>
      </c>
      <c r="X46" s="140">
        <f>(X44-X45)*0.06</f>
        <v>569.61599999999862</v>
      </c>
      <c r="Y46" s="140">
        <f>(Y44-Y45)*2</f>
        <v>0</v>
      </c>
      <c r="Z46" s="60"/>
      <c r="AA46" s="140">
        <f>(AA44-AA45)*30</f>
        <v>1564.1399999999976</v>
      </c>
      <c r="AB46" s="140">
        <f>(AB44-AB45)*120</f>
        <v>2976.0000000000014</v>
      </c>
      <c r="AC46" s="140">
        <f t="shared" ref="AC46:AD46" si="1">(AC44-AC45)*0.06</f>
        <v>1113.2759999999985</v>
      </c>
      <c r="AD46" s="140">
        <f t="shared" si="1"/>
        <v>1838.1720000000007</v>
      </c>
      <c r="AE46" s="140">
        <f t="shared" ref="AE46:AG46" si="2">(AE44-AE45)*60</f>
        <v>1265.4599999999996</v>
      </c>
      <c r="AF46" s="140">
        <f t="shared" si="2"/>
        <v>2546.5800000000008</v>
      </c>
      <c r="AG46" s="140">
        <f t="shared" si="2"/>
        <v>1710</v>
      </c>
      <c r="AH46" s="29"/>
      <c r="AI46" s="29"/>
      <c r="AJ46" s="60"/>
      <c r="AK46" s="60"/>
    </row>
    <row r="47" spans="1:37" ht="24" customHeight="1">
      <c r="A47" s="60"/>
      <c r="B47" s="6" t="s">
        <v>167</v>
      </c>
      <c r="C47" s="4"/>
      <c r="D47" s="185" t="s">
        <v>168</v>
      </c>
      <c r="E47" s="4"/>
      <c r="F47" s="150" t="s">
        <v>169</v>
      </c>
      <c r="G47" s="22"/>
      <c r="H47" s="153" t="s">
        <v>170</v>
      </c>
      <c r="I47" s="26" t="s">
        <v>171</v>
      </c>
      <c r="J47" s="153" t="s">
        <v>172</v>
      </c>
      <c r="K47" s="22"/>
      <c r="L47" s="153" t="s">
        <v>173</v>
      </c>
      <c r="M47" s="153" t="s">
        <v>174</v>
      </c>
      <c r="N47" s="275" t="s">
        <v>175</v>
      </c>
      <c r="O47" s="261"/>
      <c r="P47" s="22" t="s">
        <v>176</v>
      </c>
      <c r="Q47" s="26" t="s">
        <v>177</v>
      </c>
      <c r="R47" s="5" t="s">
        <v>178</v>
      </c>
      <c r="S47" s="6" t="s">
        <v>179</v>
      </c>
      <c r="T47" s="6"/>
      <c r="U47" s="26" t="s">
        <v>180</v>
      </c>
      <c r="V47" s="26" t="s">
        <v>181</v>
      </c>
      <c r="W47" s="26" t="s">
        <v>182</v>
      </c>
      <c r="X47" s="26" t="s">
        <v>183</v>
      </c>
      <c r="Y47" s="26" t="s">
        <v>184</v>
      </c>
      <c r="Z47" s="4"/>
      <c r="AA47" s="26" t="s">
        <v>185</v>
      </c>
      <c r="AB47" s="24" t="s">
        <v>186</v>
      </c>
      <c r="AC47" s="153" t="s">
        <v>187</v>
      </c>
      <c r="AD47" s="91" t="s">
        <v>188</v>
      </c>
      <c r="AE47" s="98" t="s">
        <v>189</v>
      </c>
      <c r="AF47" s="4" t="s">
        <v>190</v>
      </c>
      <c r="AG47" s="186" t="s">
        <v>191</v>
      </c>
      <c r="AH47" s="186"/>
      <c r="AI47" s="29"/>
      <c r="AJ47" s="60"/>
      <c r="AK47" s="60"/>
    </row>
    <row r="48" spans="1:37" ht="31.5" customHeight="1">
      <c r="A48" s="60"/>
      <c r="B48" s="153" t="s">
        <v>156</v>
      </c>
      <c r="C48" s="4"/>
      <c r="D48" s="153" t="s">
        <v>156</v>
      </c>
      <c r="E48" s="4"/>
      <c r="F48" s="267" t="s">
        <v>17</v>
      </c>
      <c r="G48" s="261"/>
      <c r="H48" s="26" t="s">
        <v>113</v>
      </c>
      <c r="I48" s="153" t="s">
        <v>156</v>
      </c>
      <c r="J48" s="153" t="s">
        <v>156</v>
      </c>
      <c r="K48" s="4"/>
      <c r="L48" s="153" t="s">
        <v>156</v>
      </c>
      <c r="M48" s="26" t="s">
        <v>113</v>
      </c>
      <c r="N48" s="276" t="s">
        <v>156</v>
      </c>
      <c r="O48" s="261"/>
      <c r="P48" s="153" t="s">
        <v>113</v>
      </c>
      <c r="Q48" s="153" t="s">
        <v>156</v>
      </c>
      <c r="R48" s="153" t="s">
        <v>156</v>
      </c>
      <c r="S48" s="153" t="s">
        <v>113</v>
      </c>
      <c r="T48" s="4"/>
      <c r="U48" s="187" t="s">
        <v>192</v>
      </c>
      <c r="V48" s="153" t="s">
        <v>156</v>
      </c>
      <c r="W48" s="26" t="s">
        <v>113</v>
      </c>
      <c r="X48" s="26" t="s">
        <v>113</v>
      </c>
      <c r="Y48" s="26" t="s">
        <v>113</v>
      </c>
      <c r="Z48" s="26"/>
      <c r="AA48" s="153" t="s">
        <v>156</v>
      </c>
      <c r="AB48" s="26" t="s">
        <v>113</v>
      </c>
      <c r="AC48" s="187" t="s">
        <v>192</v>
      </c>
      <c r="AD48" s="26" t="s">
        <v>113</v>
      </c>
      <c r="AE48" s="26" t="s">
        <v>113</v>
      </c>
      <c r="AF48" s="22" t="s">
        <v>193</v>
      </c>
      <c r="AG48" s="153" t="s">
        <v>156</v>
      </c>
      <c r="AH48" s="26"/>
      <c r="AI48" s="60"/>
      <c r="AJ48" s="60"/>
      <c r="AK48" s="60"/>
    </row>
    <row r="49" spans="1:37" ht="28.5" customHeight="1">
      <c r="A49" s="4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188"/>
      <c r="AH49" s="188"/>
      <c r="AI49" s="4"/>
      <c r="AJ49" s="4"/>
      <c r="AK49" s="4"/>
    </row>
    <row r="50" spans="1:37" ht="29.25" customHeight="1">
      <c r="A50" s="4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4"/>
      <c r="AH50" s="4"/>
      <c r="AI50" s="4"/>
      <c r="AJ50" s="4"/>
      <c r="AK50" s="4"/>
    </row>
    <row r="51" spans="1:37" ht="32.25" customHeight="1">
      <c r="A51" s="189"/>
      <c r="B51" s="272" t="s">
        <v>194</v>
      </c>
      <c r="C51" s="263"/>
      <c r="D51" s="272" t="s">
        <v>7</v>
      </c>
      <c r="E51" s="263"/>
      <c r="F51" s="272" t="s">
        <v>13</v>
      </c>
      <c r="G51" s="263"/>
      <c r="H51" s="191" t="s">
        <v>195</v>
      </c>
      <c r="I51" s="191" t="s">
        <v>196</v>
      </c>
      <c r="J51" s="190" t="s">
        <v>197</v>
      </c>
      <c r="K51" s="272" t="s">
        <v>17</v>
      </c>
      <c r="L51" s="263"/>
      <c r="M51" s="191" t="s">
        <v>198</v>
      </c>
      <c r="N51" s="191" t="s">
        <v>42</v>
      </c>
      <c r="O51" s="192" t="s">
        <v>199</v>
      </c>
      <c r="P51" s="192" t="s">
        <v>200</v>
      </c>
      <c r="Q51" s="192" t="s">
        <v>201</v>
      </c>
      <c r="R51" s="192" t="s">
        <v>202</v>
      </c>
      <c r="S51" s="192" t="s">
        <v>203</v>
      </c>
      <c r="T51" s="192" t="s">
        <v>204</v>
      </c>
      <c r="U51" s="192" t="s">
        <v>205</v>
      </c>
      <c r="V51" s="192" t="s">
        <v>206</v>
      </c>
      <c r="W51" s="192" t="s">
        <v>207</v>
      </c>
      <c r="X51" s="193" t="s">
        <v>208</v>
      </c>
      <c r="Y51" s="193" t="s">
        <v>209</v>
      </c>
      <c r="Z51" s="194" t="s">
        <v>177</v>
      </c>
      <c r="AA51" s="192" t="s">
        <v>210</v>
      </c>
      <c r="AB51" s="192" t="s">
        <v>211</v>
      </c>
      <c r="AC51" s="192" t="s">
        <v>212</v>
      </c>
      <c r="AD51" s="192" t="s">
        <v>213</v>
      </c>
      <c r="AE51" s="192" t="s">
        <v>214</v>
      </c>
      <c r="AF51" s="192" t="s">
        <v>215</v>
      </c>
      <c r="AG51" s="192" t="s">
        <v>216</v>
      </c>
      <c r="AH51" s="190" t="s">
        <v>217</v>
      </c>
      <c r="AI51" s="190" t="s">
        <v>218</v>
      </c>
      <c r="AJ51" s="194" t="s">
        <v>21</v>
      </c>
      <c r="AK51" s="3"/>
    </row>
    <row r="52" spans="1:37" ht="18" customHeight="1">
      <c r="A52" s="289" t="s">
        <v>22</v>
      </c>
      <c r="B52" s="280">
        <f>G15+N15+Q15+J15</f>
        <v>134108.79999999976</v>
      </c>
      <c r="C52" s="281"/>
      <c r="D52" s="280">
        <f>J22+N22+F22</f>
        <v>87124.35</v>
      </c>
      <c r="E52" s="281"/>
      <c r="F52" s="280">
        <f>D30+Q29+I29+U28+Y28+E30</f>
        <v>60295.609999999993</v>
      </c>
      <c r="G52" s="281"/>
      <c r="H52" s="278">
        <f>B52+B22</f>
        <v>134108.79999999976</v>
      </c>
      <c r="I52" s="195" t="s">
        <v>219</v>
      </c>
      <c r="J52" s="196">
        <f>SUM(M46+P46+W46+B37+H37+N37+P37+R37+AA37+Y37+Y46+X46+S46+H46+AD46+AC46)-10</f>
        <v>29098.723999999936</v>
      </c>
      <c r="K52" s="277">
        <f>F46+W37</f>
        <v>2291</v>
      </c>
      <c r="L52" s="263"/>
      <c r="M52" s="197"/>
      <c r="N52" s="198"/>
      <c r="O52" s="199"/>
      <c r="P52" s="200"/>
      <c r="Q52" s="200"/>
      <c r="R52" s="199"/>
      <c r="S52" s="199"/>
      <c r="T52" s="199"/>
      <c r="U52" s="199"/>
      <c r="V52" s="199"/>
      <c r="W52" s="201"/>
      <c r="X52" s="200"/>
      <c r="Y52" s="201"/>
      <c r="Z52" s="201"/>
      <c r="AA52" s="201"/>
      <c r="AB52" s="201"/>
      <c r="AC52" s="201"/>
      <c r="AD52" s="202"/>
      <c r="AE52" s="201"/>
      <c r="AF52" s="201"/>
      <c r="AG52" s="201"/>
      <c r="AH52" s="201"/>
      <c r="AI52" s="203"/>
      <c r="AJ52" s="204">
        <f>J52+K52</f>
        <v>31389.723999999936</v>
      </c>
      <c r="AK52" s="60"/>
    </row>
    <row r="53" spans="1:37" ht="18" customHeight="1">
      <c r="A53" s="262"/>
      <c r="B53" s="282"/>
      <c r="C53" s="283"/>
      <c r="D53" s="282"/>
      <c r="E53" s="283"/>
      <c r="F53" s="282"/>
      <c r="G53" s="283"/>
      <c r="H53" s="262"/>
      <c r="I53" s="195" t="s">
        <v>220</v>
      </c>
      <c r="J53" s="203"/>
      <c r="K53" s="274"/>
      <c r="L53" s="263"/>
      <c r="M53" s="205"/>
      <c r="N53" s="203"/>
      <c r="O53" s="202">
        <f>U21+U46+AE46+AB46+AF46</f>
        <v>13984.04</v>
      </c>
      <c r="P53" s="201"/>
      <c r="Q53" s="201"/>
      <c r="R53" s="202"/>
      <c r="S53" s="202"/>
      <c r="T53" s="202"/>
      <c r="U53" s="202"/>
      <c r="V53" s="202"/>
      <c r="W53" s="201"/>
      <c r="X53" s="201"/>
      <c r="Y53" s="201"/>
      <c r="Z53" s="201"/>
      <c r="AA53" s="201"/>
      <c r="AB53" s="201"/>
      <c r="AC53" s="204"/>
      <c r="AD53" s="201"/>
      <c r="AE53" s="201"/>
      <c r="AF53" s="201"/>
      <c r="AG53" s="201"/>
      <c r="AH53" s="206"/>
      <c r="AI53" s="205"/>
      <c r="AJ53" s="204">
        <f>O53</f>
        <v>13984.04</v>
      </c>
      <c r="AK53" s="60"/>
    </row>
    <row r="54" spans="1:37" ht="18" customHeight="1">
      <c r="A54" s="289" t="s">
        <v>2</v>
      </c>
      <c r="B54" s="280">
        <f>J22+N22+M12+J12+Q12+G12+F22+U28+Y28</f>
        <v>133751.1</v>
      </c>
      <c r="C54" s="281"/>
      <c r="D54" s="280">
        <f>D30+W22+U21+AA22+Y22+Q29+AB19+I29</f>
        <v>86918.099999999991</v>
      </c>
      <c r="E54" s="281"/>
      <c r="F54" s="280">
        <f>B37+D37+F37+H37+J37+L37+N37+P37+R37+U37+W37+Y37+AA37+M46+P46+S46+H46+U46+V46+W46+Y46+D46+B46+N46+F46+I46+J46+L46+R46+AA46+X46+AB46+AD46+AE46+AG46+AF46+AC46+Q46+218</f>
        <v>60214.161999999953</v>
      </c>
      <c r="G54" s="281"/>
      <c r="H54" s="278">
        <f>F54+W22+J12+G12+U21+AA22+Y22+AB19</f>
        <v>133460.20199999996</v>
      </c>
      <c r="I54" s="195" t="s">
        <v>221</v>
      </c>
      <c r="J54" s="203"/>
      <c r="K54" s="274"/>
      <c r="L54" s="263"/>
      <c r="M54" s="207">
        <f>J12</f>
        <v>32904</v>
      </c>
      <c r="N54" s="203"/>
      <c r="O54" s="208"/>
      <c r="P54" s="201"/>
      <c r="Q54" s="201"/>
      <c r="R54" s="208"/>
      <c r="S54" s="208"/>
      <c r="T54" s="208"/>
      <c r="U54" s="208"/>
      <c r="V54" s="208"/>
      <c r="W54" s="201"/>
      <c r="X54" s="201"/>
      <c r="Y54" s="201"/>
      <c r="Z54" s="201"/>
      <c r="AA54" s="201"/>
      <c r="AB54" s="201"/>
      <c r="AC54" s="204"/>
      <c r="AD54" s="201"/>
      <c r="AE54" s="201"/>
      <c r="AF54" s="201"/>
      <c r="AG54" s="201"/>
      <c r="AH54" s="206"/>
      <c r="AI54" s="205"/>
      <c r="AJ54" s="204">
        <f>J54+M54+N54+O54+R54</f>
        <v>32904</v>
      </c>
      <c r="AK54" s="60"/>
    </row>
    <row r="55" spans="1:37" ht="18" customHeight="1">
      <c r="A55" s="279"/>
      <c r="B55" s="290"/>
      <c r="C55" s="265"/>
      <c r="D55" s="290"/>
      <c r="E55" s="265"/>
      <c r="F55" s="290"/>
      <c r="G55" s="265"/>
      <c r="H55" s="279"/>
      <c r="I55" s="195" t="s">
        <v>222</v>
      </c>
      <c r="J55" s="203"/>
      <c r="K55" s="274"/>
      <c r="L55" s="263"/>
      <c r="M55" s="205"/>
      <c r="N55" s="203">
        <v>10</v>
      </c>
      <c r="O55" s="208"/>
      <c r="P55" s="201"/>
      <c r="Q55" s="201"/>
      <c r="R55" s="208"/>
      <c r="S55" s="208"/>
      <c r="T55" s="208"/>
      <c r="U55" s="208"/>
      <c r="V55" s="208"/>
      <c r="W55" s="201"/>
      <c r="X55" s="201"/>
      <c r="Y55" s="201"/>
      <c r="Z55" s="201"/>
      <c r="AA55" s="201"/>
      <c r="AB55" s="201"/>
      <c r="AC55" s="204"/>
      <c r="AD55" s="209"/>
      <c r="AE55" s="201"/>
      <c r="AF55" s="201"/>
      <c r="AG55" s="201"/>
      <c r="AH55" s="206"/>
      <c r="AI55" s="210">
        <f>G12</f>
        <v>121.60000000000001</v>
      </c>
      <c r="AJ55" s="204">
        <f>AI55+N55</f>
        <v>131.60000000000002</v>
      </c>
      <c r="AK55" s="60"/>
    </row>
    <row r="56" spans="1:37" ht="26.25" customHeight="1">
      <c r="A56" s="262"/>
      <c r="B56" s="282"/>
      <c r="C56" s="283"/>
      <c r="D56" s="282"/>
      <c r="E56" s="283"/>
      <c r="F56" s="282"/>
      <c r="G56" s="283"/>
      <c r="H56" s="262"/>
      <c r="I56" s="211" t="s">
        <v>223</v>
      </c>
      <c r="J56" s="203"/>
      <c r="K56" s="274"/>
      <c r="L56" s="263"/>
      <c r="M56" s="205"/>
      <c r="N56" s="203"/>
      <c r="O56" s="208"/>
      <c r="P56" s="201"/>
      <c r="Q56" s="209">
        <f>Y22</f>
        <v>3464.4</v>
      </c>
      <c r="R56" s="208"/>
      <c r="S56" s="208"/>
      <c r="T56" s="208"/>
      <c r="U56" s="208"/>
      <c r="V56" s="208"/>
      <c r="W56" s="201"/>
      <c r="X56" s="201"/>
      <c r="Y56" s="201"/>
      <c r="Z56" s="201"/>
      <c r="AA56" s="201"/>
      <c r="AB56" s="201"/>
      <c r="AC56" s="204"/>
      <c r="AD56" s="201"/>
      <c r="AE56" s="201"/>
      <c r="AF56" s="201"/>
      <c r="AG56" s="201"/>
      <c r="AH56" s="206"/>
      <c r="AI56" s="205"/>
      <c r="AJ56" s="204">
        <f>Q56</f>
        <v>3464.4</v>
      </c>
      <c r="AK56" s="60"/>
    </row>
    <row r="57" spans="1:37" ht="24.75" customHeight="1">
      <c r="A57" s="289" t="s">
        <v>27</v>
      </c>
      <c r="B57" s="280">
        <f>B52-B54</f>
        <v>357.69999999974971</v>
      </c>
      <c r="C57" s="281"/>
      <c r="D57" s="280">
        <f>D52-D54</f>
        <v>206.25000000001455</v>
      </c>
      <c r="E57" s="281"/>
      <c r="F57" s="280">
        <f>F52-F54</f>
        <v>81.448000000040338</v>
      </c>
      <c r="G57" s="281"/>
      <c r="H57" s="278">
        <f>H52-H54</f>
        <v>648.59799999979441</v>
      </c>
      <c r="I57" s="195" t="s">
        <v>202</v>
      </c>
      <c r="J57" s="203"/>
      <c r="K57" s="274"/>
      <c r="L57" s="263"/>
      <c r="M57" s="203"/>
      <c r="N57" s="203"/>
      <c r="O57" s="203"/>
      <c r="P57" s="201"/>
      <c r="Q57" s="201"/>
      <c r="R57" s="198">
        <f>W22</f>
        <v>1054.56</v>
      </c>
      <c r="S57" s="198"/>
      <c r="T57" s="198"/>
      <c r="U57" s="198"/>
      <c r="V57" s="198"/>
      <c r="W57" s="201"/>
      <c r="X57" s="201"/>
      <c r="Y57" s="201"/>
      <c r="Z57" s="201"/>
      <c r="AA57" s="201"/>
      <c r="AB57" s="201"/>
      <c r="AC57" s="204"/>
      <c r="AD57" s="201"/>
      <c r="AE57" s="201"/>
      <c r="AF57" s="201"/>
      <c r="AG57" s="201"/>
      <c r="AH57" s="206"/>
      <c r="AI57" s="205"/>
      <c r="AJ57" s="204">
        <f>R75</f>
        <v>1054.56</v>
      </c>
      <c r="AK57" s="60"/>
    </row>
    <row r="58" spans="1:37" ht="18" customHeight="1">
      <c r="A58" s="279"/>
      <c r="B58" s="290"/>
      <c r="C58" s="265"/>
      <c r="D58" s="290"/>
      <c r="E58" s="265"/>
      <c r="F58" s="290"/>
      <c r="G58" s="265"/>
      <c r="H58" s="279"/>
      <c r="I58" s="195" t="s">
        <v>224</v>
      </c>
      <c r="J58" s="203"/>
      <c r="K58" s="274"/>
      <c r="L58" s="263"/>
      <c r="M58" s="203"/>
      <c r="N58" s="203"/>
      <c r="O58" s="203"/>
      <c r="P58" s="201"/>
      <c r="Q58" s="201"/>
      <c r="R58" s="198"/>
      <c r="S58" s="198">
        <f>V46</f>
        <v>2303.159999999998</v>
      </c>
      <c r="T58" s="198"/>
      <c r="U58" s="198"/>
      <c r="V58" s="198"/>
      <c r="W58" s="201"/>
      <c r="X58" s="201"/>
      <c r="Y58" s="201"/>
      <c r="Z58" s="201"/>
      <c r="AA58" s="201"/>
      <c r="AB58" s="201"/>
      <c r="AC58" s="204"/>
      <c r="AD58" s="201"/>
      <c r="AE58" s="201"/>
      <c r="AF58" s="201"/>
      <c r="AG58" s="201"/>
      <c r="AH58" s="206"/>
      <c r="AI58" s="205"/>
      <c r="AJ58" s="204">
        <f>S58</f>
        <v>2303.159999999998</v>
      </c>
      <c r="AK58" s="60"/>
    </row>
    <row r="59" spans="1:37" ht="26.25" customHeight="1">
      <c r="A59" s="279"/>
      <c r="B59" s="290"/>
      <c r="C59" s="265"/>
      <c r="D59" s="290"/>
      <c r="E59" s="265"/>
      <c r="F59" s="290"/>
      <c r="G59" s="265"/>
      <c r="H59" s="279"/>
      <c r="I59" s="212" t="s">
        <v>204</v>
      </c>
      <c r="J59" s="203"/>
      <c r="K59" s="274"/>
      <c r="L59" s="263"/>
      <c r="M59" s="203"/>
      <c r="N59" s="203"/>
      <c r="O59" s="203"/>
      <c r="P59" s="201"/>
      <c r="Q59" s="201"/>
      <c r="R59" s="198"/>
      <c r="S59" s="198"/>
      <c r="T59" s="198">
        <f>B46</f>
        <v>1364.6400000000085</v>
      </c>
      <c r="U59" s="198"/>
      <c r="V59" s="198"/>
      <c r="W59" s="201"/>
      <c r="X59" s="201"/>
      <c r="Y59" s="201"/>
      <c r="Z59" s="201"/>
      <c r="AA59" s="201"/>
      <c r="AB59" s="201"/>
      <c r="AC59" s="204"/>
      <c r="AD59" s="201"/>
      <c r="AE59" s="201"/>
      <c r="AF59" s="201"/>
      <c r="AG59" s="201"/>
      <c r="AH59" s="206"/>
      <c r="AI59" s="205"/>
      <c r="AJ59" s="204">
        <f t="shared" ref="AJ59:AJ60" si="3">SUM(J59:AI59)</f>
        <v>1364.6400000000085</v>
      </c>
      <c r="AK59" s="60"/>
    </row>
    <row r="60" spans="1:37" ht="18" customHeight="1">
      <c r="A60" s="279"/>
      <c r="B60" s="290"/>
      <c r="C60" s="265"/>
      <c r="D60" s="290"/>
      <c r="E60" s="265"/>
      <c r="F60" s="290"/>
      <c r="G60" s="265"/>
      <c r="H60" s="279"/>
      <c r="I60" s="212" t="s">
        <v>205</v>
      </c>
      <c r="J60" s="203"/>
      <c r="K60" s="274"/>
      <c r="L60" s="263"/>
      <c r="M60" s="203"/>
      <c r="N60" s="203"/>
      <c r="O60" s="203"/>
      <c r="P60" s="201"/>
      <c r="Q60" s="201"/>
      <c r="R60" s="198"/>
      <c r="S60" s="198"/>
      <c r="T60" s="198"/>
      <c r="U60" s="198">
        <f>I46</f>
        <v>821.40000000000327</v>
      </c>
      <c r="V60" s="198"/>
      <c r="W60" s="201"/>
      <c r="X60" s="201"/>
      <c r="Y60" s="201"/>
      <c r="Z60" s="201"/>
      <c r="AA60" s="201"/>
      <c r="AB60" s="201"/>
      <c r="AC60" s="204"/>
      <c r="AD60" s="201"/>
      <c r="AE60" s="201"/>
      <c r="AF60" s="201"/>
      <c r="AG60" s="201"/>
      <c r="AH60" s="206"/>
      <c r="AI60" s="205"/>
      <c r="AJ60" s="204">
        <f t="shared" si="3"/>
        <v>821.40000000000327</v>
      </c>
      <c r="AK60" s="60"/>
    </row>
    <row r="61" spans="1:37" ht="18" customHeight="1">
      <c r="A61" s="279"/>
      <c r="B61" s="290"/>
      <c r="C61" s="265"/>
      <c r="D61" s="290"/>
      <c r="E61" s="265"/>
      <c r="F61" s="290"/>
      <c r="G61" s="265"/>
      <c r="H61" s="279"/>
      <c r="I61" s="195" t="s">
        <v>225</v>
      </c>
      <c r="J61" s="203"/>
      <c r="K61" s="274"/>
      <c r="L61" s="263"/>
      <c r="M61" s="203"/>
      <c r="N61" s="203"/>
      <c r="O61" s="203"/>
      <c r="P61" s="201"/>
      <c r="Q61" s="201"/>
      <c r="R61" s="198"/>
      <c r="S61" s="198"/>
      <c r="T61" s="198"/>
      <c r="U61" s="198"/>
      <c r="V61" s="198">
        <f>AA22</f>
        <v>6785</v>
      </c>
      <c r="W61" s="201"/>
      <c r="X61" s="201"/>
      <c r="Y61" s="201"/>
      <c r="Z61" s="201"/>
      <c r="AA61" s="201"/>
      <c r="AB61" s="201"/>
      <c r="AC61" s="204"/>
      <c r="AD61" s="201"/>
      <c r="AE61" s="201"/>
      <c r="AF61" s="201"/>
      <c r="AG61" s="201"/>
      <c r="AH61" s="206"/>
      <c r="AI61" s="205"/>
      <c r="AJ61" s="204">
        <f>V61</f>
        <v>6785</v>
      </c>
      <c r="AK61" s="60"/>
    </row>
    <row r="62" spans="1:37" ht="26.25" customHeight="1">
      <c r="A62" s="279"/>
      <c r="B62" s="290"/>
      <c r="C62" s="265"/>
      <c r="D62" s="290"/>
      <c r="E62" s="265"/>
      <c r="F62" s="290"/>
      <c r="G62" s="265"/>
      <c r="H62" s="279"/>
      <c r="I62" s="212" t="s">
        <v>207</v>
      </c>
      <c r="J62" s="203"/>
      <c r="K62" s="274"/>
      <c r="L62" s="263"/>
      <c r="M62" s="203"/>
      <c r="N62" s="203"/>
      <c r="O62" s="203"/>
      <c r="P62" s="201"/>
      <c r="Q62" s="201"/>
      <c r="R62" s="198"/>
      <c r="S62" s="198"/>
      <c r="T62" s="198"/>
      <c r="U62" s="198"/>
      <c r="V62" s="198"/>
      <c r="W62" s="209">
        <f>AB19</f>
        <v>21720.48</v>
      </c>
      <c r="X62" s="201"/>
      <c r="Y62" s="201"/>
      <c r="Z62" s="201"/>
      <c r="AA62" s="201"/>
      <c r="AB62" s="201"/>
      <c r="AC62" s="204"/>
      <c r="AD62" s="201"/>
      <c r="AE62" s="201"/>
      <c r="AF62" s="201"/>
      <c r="AG62" s="201"/>
      <c r="AH62" s="206"/>
      <c r="AI62" s="205"/>
      <c r="AJ62" s="204">
        <f>W62</f>
        <v>21720.48</v>
      </c>
      <c r="AK62" s="60"/>
    </row>
    <row r="63" spans="1:37" ht="26.25" customHeight="1">
      <c r="A63" s="279"/>
      <c r="B63" s="290"/>
      <c r="C63" s="265"/>
      <c r="D63" s="290"/>
      <c r="E63" s="265"/>
      <c r="F63" s="290"/>
      <c r="G63" s="265"/>
      <c r="H63" s="279"/>
      <c r="I63" s="212" t="s">
        <v>208</v>
      </c>
      <c r="J63" s="203"/>
      <c r="K63" s="274"/>
      <c r="L63" s="263"/>
      <c r="M63" s="203"/>
      <c r="N63" s="203"/>
      <c r="O63" s="203"/>
      <c r="P63" s="201"/>
      <c r="Q63" s="201"/>
      <c r="R63" s="198"/>
      <c r="S63" s="198"/>
      <c r="T63" s="198"/>
      <c r="U63" s="198"/>
      <c r="V63" s="198"/>
      <c r="W63" s="201"/>
      <c r="X63" s="209">
        <f>J46</f>
        <v>2100.240000000008</v>
      </c>
      <c r="Y63" s="201"/>
      <c r="Z63" s="201"/>
      <c r="AA63" s="201"/>
      <c r="AB63" s="201"/>
      <c r="AC63" s="204"/>
      <c r="AD63" s="201"/>
      <c r="AE63" s="201"/>
      <c r="AF63" s="201"/>
      <c r="AG63" s="201"/>
      <c r="AH63" s="206"/>
      <c r="AI63" s="205"/>
      <c r="AJ63" s="204">
        <f>X63</f>
        <v>2100.240000000008</v>
      </c>
      <c r="AK63" s="60"/>
    </row>
    <row r="64" spans="1:37" ht="24" customHeight="1">
      <c r="A64" s="279"/>
      <c r="B64" s="290"/>
      <c r="C64" s="265"/>
      <c r="D64" s="290"/>
      <c r="E64" s="265"/>
      <c r="F64" s="290"/>
      <c r="G64" s="265"/>
      <c r="H64" s="279"/>
      <c r="I64" s="212" t="s">
        <v>209</v>
      </c>
      <c r="J64" s="203"/>
      <c r="K64" s="274"/>
      <c r="L64" s="263"/>
      <c r="M64" s="203"/>
      <c r="N64" s="203"/>
      <c r="O64" s="203"/>
      <c r="P64" s="201"/>
      <c r="Q64" s="201"/>
      <c r="R64" s="198"/>
      <c r="S64" s="198"/>
      <c r="T64" s="198"/>
      <c r="U64" s="198"/>
      <c r="V64" s="198"/>
      <c r="W64" s="201"/>
      <c r="X64" s="209"/>
      <c r="Y64" s="209">
        <f>L46</f>
        <v>1837.6199999999972</v>
      </c>
      <c r="Z64" s="201"/>
      <c r="AA64" s="201"/>
      <c r="AB64" s="201"/>
      <c r="AC64" s="204"/>
      <c r="AD64" s="201"/>
      <c r="AE64" s="201"/>
      <c r="AF64" s="201"/>
      <c r="AG64" s="201"/>
      <c r="AH64" s="206"/>
      <c r="AI64" s="205"/>
      <c r="AJ64" s="204">
        <f>Y64</f>
        <v>1837.6199999999972</v>
      </c>
      <c r="AK64" s="60"/>
    </row>
    <row r="65" spans="1:37" ht="27.75" customHeight="1">
      <c r="A65" s="279"/>
      <c r="B65" s="290"/>
      <c r="C65" s="265"/>
      <c r="D65" s="290"/>
      <c r="E65" s="265"/>
      <c r="F65" s="290"/>
      <c r="G65" s="265"/>
      <c r="H65" s="279"/>
      <c r="I65" s="211" t="s">
        <v>226</v>
      </c>
      <c r="J65" s="203"/>
      <c r="K65" s="274"/>
      <c r="L65" s="263"/>
      <c r="M65" s="203"/>
      <c r="N65" s="203"/>
      <c r="O65" s="203"/>
      <c r="P65" s="209">
        <f>J37</f>
        <v>2319.060000000004</v>
      </c>
      <c r="Q65" s="201"/>
      <c r="R65" s="198"/>
      <c r="S65" s="198"/>
      <c r="T65" s="198"/>
      <c r="U65" s="198"/>
      <c r="V65" s="198"/>
      <c r="W65" s="201"/>
      <c r="X65" s="209"/>
      <c r="Y65" s="201"/>
      <c r="Z65" s="201"/>
      <c r="AA65" s="201"/>
      <c r="AB65" s="201"/>
      <c r="AC65" s="204"/>
      <c r="AD65" s="201"/>
      <c r="AE65" s="201"/>
      <c r="AF65" s="201"/>
      <c r="AG65" s="201"/>
      <c r="AH65" s="206"/>
      <c r="AI65" s="205"/>
      <c r="AJ65" s="204">
        <f>P65</f>
        <v>2319.060000000004</v>
      </c>
      <c r="AK65" s="60"/>
    </row>
    <row r="66" spans="1:37" ht="24" customHeight="1">
      <c r="A66" s="279"/>
      <c r="B66" s="290"/>
      <c r="C66" s="265"/>
      <c r="D66" s="290"/>
      <c r="E66" s="265"/>
      <c r="F66" s="290"/>
      <c r="G66" s="265"/>
      <c r="H66" s="279"/>
      <c r="I66" s="211" t="s">
        <v>210</v>
      </c>
      <c r="J66" s="203"/>
      <c r="K66" s="274"/>
      <c r="L66" s="263"/>
      <c r="M66" s="203"/>
      <c r="N66" s="203"/>
      <c r="O66" s="203"/>
      <c r="P66" s="209"/>
      <c r="Q66" s="201"/>
      <c r="R66" s="198"/>
      <c r="S66" s="198"/>
      <c r="T66" s="198"/>
      <c r="U66" s="198"/>
      <c r="V66" s="198"/>
      <c r="W66" s="201"/>
      <c r="X66" s="209"/>
      <c r="Y66" s="201"/>
      <c r="Z66" s="201"/>
      <c r="AA66" s="213">
        <f>D37</f>
        <v>266.23799999999994</v>
      </c>
      <c r="AB66" s="201"/>
      <c r="AC66" s="204"/>
      <c r="AD66" s="201"/>
      <c r="AE66" s="201"/>
      <c r="AF66" s="201"/>
      <c r="AG66" s="201"/>
      <c r="AH66" s="206"/>
      <c r="AI66" s="205"/>
      <c r="AJ66" s="204">
        <f t="shared" ref="AJ66:AJ72" si="4">SUM(AA66:AI66)</f>
        <v>266.23799999999994</v>
      </c>
      <c r="AK66" s="60"/>
    </row>
    <row r="67" spans="1:37" ht="18" customHeight="1">
      <c r="A67" s="279"/>
      <c r="B67" s="290"/>
      <c r="C67" s="265"/>
      <c r="D67" s="290"/>
      <c r="E67" s="265"/>
      <c r="F67" s="290"/>
      <c r="G67" s="265"/>
      <c r="H67" s="279"/>
      <c r="I67" s="211" t="s">
        <v>211</v>
      </c>
      <c r="J67" s="203"/>
      <c r="K67" s="274"/>
      <c r="L67" s="263"/>
      <c r="M67" s="203"/>
      <c r="N67" s="203"/>
      <c r="O67" s="203"/>
      <c r="P67" s="209"/>
      <c r="Q67" s="201"/>
      <c r="R67" s="198"/>
      <c r="S67" s="198"/>
      <c r="T67" s="198"/>
      <c r="U67" s="198"/>
      <c r="V67" s="198"/>
      <c r="W67" s="201"/>
      <c r="X67" s="209"/>
      <c r="Y67" s="201"/>
      <c r="Z67" s="201"/>
      <c r="AA67" s="201"/>
      <c r="AB67" s="209">
        <f>F37</f>
        <v>2167.3199999999906</v>
      </c>
      <c r="AC67" s="204"/>
      <c r="AD67" s="201"/>
      <c r="AE67" s="201"/>
      <c r="AF67" s="201"/>
      <c r="AG67" s="201"/>
      <c r="AH67" s="206"/>
      <c r="AI67" s="205"/>
      <c r="AJ67" s="204">
        <f t="shared" si="4"/>
        <v>2167.3199999999906</v>
      </c>
      <c r="AK67" s="60"/>
    </row>
    <row r="68" spans="1:37" ht="24" customHeight="1">
      <c r="A68" s="279"/>
      <c r="B68" s="290"/>
      <c r="C68" s="265"/>
      <c r="D68" s="290"/>
      <c r="E68" s="265"/>
      <c r="F68" s="290"/>
      <c r="G68" s="265"/>
      <c r="H68" s="279"/>
      <c r="I68" s="211" t="s">
        <v>212</v>
      </c>
      <c r="J68" s="203"/>
      <c r="K68" s="274"/>
      <c r="L68" s="263"/>
      <c r="M68" s="203"/>
      <c r="N68" s="203"/>
      <c r="O68" s="203"/>
      <c r="P68" s="209"/>
      <c r="Q68" s="201"/>
      <c r="R68" s="198"/>
      <c r="S68" s="198"/>
      <c r="T68" s="198"/>
      <c r="U68" s="198"/>
      <c r="V68" s="198"/>
      <c r="W68" s="201"/>
      <c r="X68" s="209"/>
      <c r="Y68" s="201"/>
      <c r="Z68" s="201"/>
      <c r="AA68" s="201"/>
      <c r="AB68" s="201"/>
      <c r="AC68" s="204">
        <f>U37</f>
        <v>2065.0200000000223</v>
      </c>
      <c r="AD68" s="209"/>
      <c r="AE68" s="201"/>
      <c r="AF68" s="201"/>
      <c r="AG68" s="201"/>
      <c r="AH68" s="206"/>
      <c r="AI68" s="205"/>
      <c r="AJ68" s="204">
        <f t="shared" si="4"/>
        <v>2065.0200000000223</v>
      </c>
      <c r="AK68" s="60"/>
    </row>
    <row r="69" spans="1:37" ht="18.75" customHeight="1">
      <c r="A69" s="279"/>
      <c r="B69" s="290"/>
      <c r="C69" s="265"/>
      <c r="D69" s="290"/>
      <c r="E69" s="265"/>
      <c r="F69" s="290"/>
      <c r="G69" s="265"/>
      <c r="H69" s="279"/>
      <c r="I69" s="211" t="s">
        <v>213</v>
      </c>
      <c r="J69" s="203"/>
      <c r="K69" s="274"/>
      <c r="L69" s="263"/>
      <c r="M69" s="203"/>
      <c r="N69" s="203"/>
      <c r="O69" s="203"/>
      <c r="P69" s="209"/>
      <c r="Q69" s="201"/>
      <c r="R69" s="198"/>
      <c r="S69" s="198"/>
      <c r="T69" s="198"/>
      <c r="U69" s="198"/>
      <c r="V69" s="198"/>
      <c r="W69" s="201"/>
      <c r="X69" s="209"/>
      <c r="Y69" s="201"/>
      <c r="Z69" s="201"/>
      <c r="AA69" s="201"/>
      <c r="AB69" s="201"/>
      <c r="AC69" s="204"/>
      <c r="AD69" s="209">
        <f>N46</f>
        <v>1936.9199999999989</v>
      </c>
      <c r="AE69" s="209"/>
      <c r="AF69" s="209"/>
      <c r="AG69" s="201"/>
      <c r="AH69" s="206"/>
      <c r="AI69" s="205"/>
      <c r="AJ69" s="204">
        <f t="shared" si="4"/>
        <v>1936.9199999999989</v>
      </c>
      <c r="AK69" s="60"/>
    </row>
    <row r="70" spans="1:37" ht="23.25" customHeight="1">
      <c r="A70" s="279"/>
      <c r="B70" s="290"/>
      <c r="C70" s="265"/>
      <c r="D70" s="290"/>
      <c r="E70" s="265"/>
      <c r="F70" s="290"/>
      <c r="G70" s="265"/>
      <c r="H70" s="279"/>
      <c r="I70" s="211" t="s">
        <v>214</v>
      </c>
      <c r="J70" s="203"/>
      <c r="K70" s="274"/>
      <c r="L70" s="263"/>
      <c r="M70" s="203"/>
      <c r="N70" s="203"/>
      <c r="O70" s="203"/>
      <c r="P70" s="209"/>
      <c r="Q70" s="201"/>
      <c r="R70" s="198"/>
      <c r="S70" s="198"/>
      <c r="T70" s="198"/>
      <c r="U70" s="198"/>
      <c r="V70" s="198"/>
      <c r="W70" s="201"/>
      <c r="X70" s="209"/>
      <c r="Y70" s="201"/>
      <c r="Z70" s="201"/>
      <c r="AA70" s="201"/>
      <c r="AB70" s="201"/>
      <c r="AC70" s="204"/>
      <c r="AD70" s="201"/>
      <c r="AE70" s="209">
        <f>D46</f>
        <v>713.04000000000087</v>
      </c>
      <c r="AF70" s="209"/>
      <c r="AG70" s="201"/>
      <c r="AH70" s="206"/>
      <c r="AI70" s="205"/>
      <c r="AJ70" s="204">
        <f t="shared" si="4"/>
        <v>713.04000000000087</v>
      </c>
      <c r="AK70" s="60"/>
    </row>
    <row r="71" spans="1:37" ht="18" customHeight="1">
      <c r="A71" s="279"/>
      <c r="B71" s="290"/>
      <c r="C71" s="265"/>
      <c r="D71" s="290"/>
      <c r="E71" s="265"/>
      <c r="F71" s="290"/>
      <c r="G71" s="265"/>
      <c r="H71" s="279"/>
      <c r="I71" s="211" t="s">
        <v>215</v>
      </c>
      <c r="J71" s="203"/>
      <c r="K71" s="274"/>
      <c r="L71" s="263"/>
      <c r="M71" s="203"/>
      <c r="N71" s="203"/>
      <c r="O71" s="203"/>
      <c r="P71" s="209"/>
      <c r="Q71" s="201"/>
      <c r="R71" s="198"/>
      <c r="S71" s="198"/>
      <c r="T71" s="198"/>
      <c r="U71" s="198"/>
      <c r="V71" s="198"/>
      <c r="W71" s="201"/>
      <c r="X71" s="209"/>
      <c r="Y71" s="201"/>
      <c r="Z71" s="201"/>
      <c r="AA71" s="201"/>
      <c r="AB71" s="201"/>
      <c r="AC71" s="204"/>
      <c r="AD71" s="201"/>
      <c r="AE71" s="201"/>
      <c r="AF71" s="209">
        <f>AA46</f>
        <v>1564.1399999999976</v>
      </c>
      <c r="AG71" s="209"/>
      <c r="AH71" s="214"/>
      <c r="AI71" s="205"/>
      <c r="AJ71" s="204">
        <f t="shared" si="4"/>
        <v>1564.1399999999976</v>
      </c>
      <c r="AK71" s="60"/>
    </row>
    <row r="72" spans="1:37" ht="22.5" customHeight="1">
      <c r="A72" s="262"/>
      <c r="B72" s="282"/>
      <c r="C72" s="283"/>
      <c r="D72" s="282"/>
      <c r="E72" s="283"/>
      <c r="F72" s="282"/>
      <c r="G72" s="283"/>
      <c r="H72" s="262"/>
      <c r="I72" s="211" t="s">
        <v>216</v>
      </c>
      <c r="J72" s="203"/>
      <c r="K72" s="274"/>
      <c r="L72" s="263"/>
      <c r="M72" s="203"/>
      <c r="N72" s="203"/>
      <c r="O72" s="203"/>
      <c r="P72" s="209"/>
      <c r="Q72" s="201"/>
      <c r="R72" s="198"/>
      <c r="S72" s="198"/>
      <c r="T72" s="198"/>
      <c r="U72" s="198"/>
      <c r="V72" s="198"/>
      <c r="W72" s="201"/>
      <c r="X72" s="209"/>
      <c r="Y72" s="201"/>
      <c r="Z72" s="201"/>
      <c r="AA72" s="201"/>
      <c r="AB72" s="201"/>
      <c r="AC72" s="204"/>
      <c r="AD72" s="201"/>
      <c r="AE72" s="201"/>
      <c r="AF72" s="201"/>
      <c r="AG72" s="215">
        <f>R46</f>
        <v>524.40000000000055</v>
      </c>
      <c r="AH72" s="216"/>
      <c r="AI72" s="205"/>
      <c r="AJ72" s="204">
        <f t="shared" si="4"/>
        <v>524.40000000000055</v>
      </c>
      <c r="AK72" s="60"/>
    </row>
    <row r="73" spans="1:37" ht="16.5" customHeight="1">
      <c r="A73" s="217"/>
      <c r="B73" s="218"/>
      <c r="C73" s="219"/>
      <c r="D73" s="218"/>
      <c r="E73" s="219"/>
      <c r="F73" s="218"/>
      <c r="G73" s="219"/>
      <c r="H73" s="218"/>
      <c r="I73" s="211" t="s">
        <v>227</v>
      </c>
      <c r="J73" s="203"/>
      <c r="K73" s="205"/>
      <c r="L73" s="220"/>
      <c r="M73" s="203"/>
      <c r="N73" s="203"/>
      <c r="O73" s="203"/>
      <c r="P73" s="209"/>
      <c r="Q73" s="201"/>
      <c r="R73" s="198"/>
      <c r="S73" s="198"/>
      <c r="T73" s="198"/>
      <c r="U73" s="198"/>
      <c r="V73" s="198"/>
      <c r="W73" s="201"/>
      <c r="X73" s="209"/>
      <c r="Y73" s="201"/>
      <c r="Z73" s="201">
        <f>Q46</f>
        <v>115.19999999999999</v>
      </c>
      <c r="AA73" s="201"/>
      <c r="AB73" s="201"/>
      <c r="AC73" s="204"/>
      <c r="AD73" s="201"/>
      <c r="AE73" s="201"/>
      <c r="AF73" s="201"/>
      <c r="AG73" s="209"/>
      <c r="AH73" s="214"/>
      <c r="AI73" s="205"/>
      <c r="AJ73" s="204">
        <f>Z73</f>
        <v>115.19999999999999</v>
      </c>
      <c r="AK73" s="60"/>
    </row>
    <row r="74" spans="1:37" ht="23.25" customHeight="1">
      <c r="A74" s="217"/>
      <c r="B74" s="218"/>
      <c r="C74" s="219"/>
      <c r="D74" s="218"/>
      <c r="E74" s="219"/>
      <c r="F74" s="218"/>
      <c r="G74" s="219"/>
      <c r="H74" s="218"/>
      <c r="I74" s="221" t="s">
        <v>228</v>
      </c>
      <c r="J74" s="203"/>
      <c r="K74" s="205"/>
      <c r="L74" s="220"/>
      <c r="M74" s="203"/>
      <c r="N74" s="203"/>
      <c r="O74" s="203"/>
      <c r="P74" s="209"/>
      <c r="Q74" s="201"/>
      <c r="R74" s="198"/>
      <c r="S74" s="198"/>
      <c r="T74" s="198"/>
      <c r="U74" s="198"/>
      <c r="V74" s="198"/>
      <c r="W74" s="201"/>
      <c r="X74" s="209"/>
      <c r="Y74" s="201"/>
      <c r="Z74" s="201"/>
      <c r="AA74" s="201"/>
      <c r="AB74" s="201"/>
      <c r="AC74" s="204"/>
      <c r="AD74" s="201"/>
      <c r="AE74" s="201"/>
      <c r="AF74" s="201"/>
      <c r="AG74" s="209"/>
      <c r="AH74" s="216">
        <f>AG46</f>
        <v>1710</v>
      </c>
      <c r="AI74" s="205"/>
      <c r="AJ74" s="204">
        <f>AH74</f>
        <v>1710</v>
      </c>
      <c r="AK74" s="60"/>
    </row>
    <row r="75" spans="1:37" ht="18" customHeight="1">
      <c r="A75" s="19" t="s">
        <v>229</v>
      </c>
      <c r="B75" s="288">
        <f>B57/B52*100</f>
        <v>0.26672373475845762</v>
      </c>
      <c r="C75" s="263"/>
      <c r="D75" s="288">
        <f>D57/D52*100</f>
        <v>0.23673060401600074</v>
      </c>
      <c r="E75" s="263"/>
      <c r="F75" s="288">
        <f>F57/F52*100</f>
        <v>0.13508114438188842</v>
      </c>
      <c r="G75" s="263"/>
      <c r="H75" s="222">
        <f>H57/H52*100</f>
        <v>0.48363567491454373</v>
      </c>
      <c r="I75" s="223" t="s">
        <v>30</v>
      </c>
      <c r="J75" s="224">
        <f t="shared" ref="J75:K75" si="5">J52</f>
        <v>29098.723999999936</v>
      </c>
      <c r="K75" s="287">
        <f t="shared" si="5"/>
        <v>2291</v>
      </c>
      <c r="L75" s="263"/>
      <c r="M75" s="198">
        <f t="shared" ref="M75:O75" si="6">SUM(M52:M57)</f>
        <v>32904</v>
      </c>
      <c r="N75" s="198">
        <f t="shared" si="6"/>
        <v>10</v>
      </c>
      <c r="O75" s="198">
        <f t="shared" si="6"/>
        <v>13984.04</v>
      </c>
      <c r="P75" s="198">
        <f>SUM(P52:P65)</f>
        <v>2319.060000000004</v>
      </c>
      <c r="Q75" s="196">
        <f>Q56</f>
        <v>3464.4</v>
      </c>
      <c r="R75" s="198">
        <f>SUM(R52:R57)</f>
        <v>1054.56</v>
      </c>
      <c r="S75" s="198">
        <f>S58</f>
        <v>2303.159999999998</v>
      </c>
      <c r="T75" s="198">
        <f t="shared" ref="T75:U75" si="7">SUM(T52:T65)</f>
        <v>1364.6400000000085</v>
      </c>
      <c r="U75" s="198">
        <f t="shared" si="7"/>
        <v>821.40000000000327</v>
      </c>
      <c r="V75" s="198">
        <f>V61</f>
        <v>6785</v>
      </c>
      <c r="W75" s="209">
        <f>W62</f>
        <v>21720.48</v>
      </c>
      <c r="X75" s="209">
        <f>X63</f>
        <v>2100.240000000008</v>
      </c>
      <c r="Y75" s="209">
        <f>Y64</f>
        <v>1837.6199999999972</v>
      </c>
      <c r="Z75" s="209">
        <f>Z73</f>
        <v>115.19999999999999</v>
      </c>
      <c r="AA75" s="201">
        <f t="shared" ref="AA75:AG75" si="8">SUM(AA52:AA72)</f>
        <v>266.23799999999994</v>
      </c>
      <c r="AB75" s="209">
        <f t="shared" si="8"/>
        <v>2167.3199999999906</v>
      </c>
      <c r="AC75" s="201">
        <f t="shared" si="8"/>
        <v>2065.0200000000223</v>
      </c>
      <c r="AD75" s="209">
        <f t="shared" si="8"/>
        <v>1936.9199999999989</v>
      </c>
      <c r="AE75" s="215">
        <f t="shared" si="8"/>
        <v>713.04000000000087</v>
      </c>
      <c r="AF75" s="209">
        <f t="shared" si="8"/>
        <v>1564.1399999999976</v>
      </c>
      <c r="AG75" s="215">
        <f t="shared" si="8"/>
        <v>524.40000000000055</v>
      </c>
      <c r="AH75" s="216">
        <f>AH74</f>
        <v>1710</v>
      </c>
      <c r="AI75" s="225">
        <f>SUM(AI55:AI63)</f>
        <v>121.60000000000001</v>
      </c>
      <c r="AJ75" s="204">
        <f>SUM(AJ52:AJ74)</f>
        <v>133242.20199999999</v>
      </c>
      <c r="AK75" s="104"/>
    </row>
    <row r="76" spans="1:37" ht="12" customHeight="1">
      <c r="A76" s="226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9"/>
      <c r="O76" s="4"/>
      <c r="P76" s="13"/>
      <c r="Q76" s="13"/>
      <c r="R76" s="13"/>
      <c r="S76" s="13"/>
      <c r="T76" s="13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1:37" ht="12" customHeight="1">
      <c r="A77" s="271" t="s">
        <v>284</v>
      </c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18"/>
      <c r="O77" s="4"/>
      <c r="P77" s="13"/>
      <c r="Q77" s="13"/>
      <c r="R77" s="13"/>
      <c r="S77" s="13"/>
      <c r="T77" s="13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21"/>
      <c r="AK77" s="4"/>
    </row>
    <row r="78" spans="1:37" ht="21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4"/>
      <c r="P78" s="13"/>
      <c r="Q78" s="13"/>
      <c r="R78" s="13"/>
      <c r="S78" s="13"/>
      <c r="T78" s="13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21"/>
      <c r="AK78" s="4"/>
    </row>
    <row r="79" spans="1:37" ht="21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4"/>
      <c r="P79" s="13"/>
      <c r="Q79" s="13"/>
      <c r="R79" s="13"/>
      <c r="S79" s="13"/>
      <c r="T79" s="13"/>
      <c r="U79" s="4"/>
      <c r="V79" s="4" t="s">
        <v>230</v>
      </c>
      <c r="W79" s="4"/>
      <c r="X79" s="4"/>
      <c r="Y79" s="4"/>
      <c r="Z79" s="4"/>
      <c r="AA79" s="4" t="s">
        <v>231</v>
      </c>
      <c r="AB79" s="4"/>
      <c r="AC79" s="4"/>
      <c r="AD79" s="4"/>
      <c r="AE79" s="4" t="s">
        <v>232</v>
      </c>
      <c r="AF79" s="4"/>
      <c r="AG79" s="4"/>
      <c r="AH79" s="4"/>
      <c r="AI79" s="4"/>
      <c r="AJ79" s="4" t="s">
        <v>35</v>
      </c>
      <c r="AK79" s="4"/>
    </row>
    <row r="80" spans="1:37" ht="15" customHeight="1">
      <c r="A80" s="4" t="s">
        <v>233</v>
      </c>
      <c r="B80" s="4"/>
      <c r="C80" s="4"/>
      <c r="D80" s="4"/>
      <c r="E80" s="4" t="s">
        <v>234</v>
      </c>
      <c r="F80" s="4"/>
      <c r="G80" s="4"/>
      <c r="H80" s="4"/>
      <c r="I80" s="4"/>
      <c r="J80" s="4"/>
      <c r="K80" s="4"/>
      <c r="L80" s="3"/>
      <c r="M80" s="3"/>
      <c r="N80" s="4"/>
      <c r="O80" s="4"/>
      <c r="P80" s="4" t="s">
        <v>33</v>
      </c>
      <c r="Q80" s="4"/>
      <c r="R80" s="4"/>
      <c r="S80" s="4"/>
      <c r="T80" s="4"/>
      <c r="U80" s="29"/>
      <c r="V80" s="4" t="s">
        <v>235</v>
      </c>
      <c r="W80" s="4"/>
      <c r="X80" s="4"/>
      <c r="Y80" s="4"/>
      <c r="Z80" s="4"/>
      <c r="AA80" s="4" t="s">
        <v>36</v>
      </c>
      <c r="AB80" s="4"/>
      <c r="AC80" s="4"/>
      <c r="AD80" s="4"/>
      <c r="AE80" s="4" t="s">
        <v>36</v>
      </c>
      <c r="AF80" s="4"/>
      <c r="AG80" s="4"/>
      <c r="AH80" s="4"/>
      <c r="AI80" s="4"/>
      <c r="AJ80" s="4" t="s">
        <v>36</v>
      </c>
      <c r="AK80" s="4"/>
    </row>
    <row r="81" spans="1:37" ht="15" customHeight="1">
      <c r="A81" s="4" t="s">
        <v>236</v>
      </c>
      <c r="B81" s="4"/>
      <c r="C81" s="4"/>
      <c r="D81" s="4"/>
      <c r="E81" s="4" t="s">
        <v>36</v>
      </c>
      <c r="F81" s="4"/>
      <c r="G81" s="4"/>
      <c r="H81" s="4"/>
      <c r="I81" s="6"/>
      <c r="J81" s="4"/>
      <c r="K81" s="4"/>
      <c r="L81" s="3"/>
      <c r="M81" s="3"/>
      <c r="N81" s="4"/>
      <c r="O81" s="4"/>
      <c r="P81" s="4" t="s">
        <v>237</v>
      </c>
      <c r="Q81" s="4"/>
      <c r="R81" s="4"/>
      <c r="S81" s="4"/>
      <c r="T81" s="4"/>
      <c r="U81" s="29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7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21"/>
      <c r="AK82" s="4"/>
    </row>
    <row r="83" spans="1:37" ht="12.75" customHeight="1">
      <c r="A83" s="25"/>
      <c r="B83" s="23"/>
      <c r="C83" s="23"/>
      <c r="D83" s="23"/>
      <c r="E83" s="23"/>
      <c r="F83" s="23"/>
      <c r="G83" s="23"/>
      <c r="H83" s="2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 ht="12.75" customHeight="1">
      <c r="A84" s="8"/>
      <c r="B84" s="94"/>
      <c r="C84" s="94"/>
      <c r="D84" s="94"/>
      <c r="E84" s="94"/>
      <c r="F84" s="94"/>
      <c r="G84" s="94"/>
      <c r="H84" s="9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1:37" ht="12.75" customHeight="1">
      <c r="A85" s="8"/>
      <c r="B85" s="94"/>
      <c r="C85" s="94"/>
      <c r="D85" s="94"/>
      <c r="E85" s="94"/>
      <c r="F85" s="94"/>
      <c r="G85" s="94"/>
      <c r="H85" s="94"/>
      <c r="I85" s="4"/>
      <c r="J85" s="4"/>
      <c r="K85" s="4"/>
      <c r="L85" s="227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1:37" ht="12.75" customHeight="1">
      <c r="A86" s="8"/>
      <c r="B86" s="94"/>
      <c r="C86" s="94"/>
      <c r="D86" s="94"/>
      <c r="E86" s="94"/>
      <c r="F86" s="94"/>
      <c r="G86" s="94"/>
      <c r="H86" s="9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 ht="12.75" customHeight="1">
      <c r="A87" s="8"/>
      <c r="B87" s="94"/>
      <c r="C87" s="94"/>
      <c r="D87" s="94"/>
      <c r="E87" s="94"/>
      <c r="F87" s="94"/>
      <c r="G87" s="94"/>
      <c r="H87" s="9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 ht="12.75" customHeight="1">
      <c r="A88" s="8"/>
      <c r="B88" s="94"/>
      <c r="C88" s="94"/>
      <c r="D88" s="94"/>
      <c r="E88" s="94"/>
      <c r="F88" s="94"/>
      <c r="G88" s="94"/>
      <c r="H88" s="9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 ht="12.75" customHeight="1">
      <c r="A89" s="8"/>
      <c r="B89" s="15"/>
      <c r="C89" s="15"/>
      <c r="D89" s="15"/>
      <c r="E89" s="15"/>
      <c r="F89" s="15"/>
      <c r="G89" s="15"/>
      <c r="H89" s="1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37" ht="12.75" customHeight="1">
      <c r="A90" s="8"/>
      <c r="B90" s="15"/>
      <c r="C90" s="15"/>
      <c r="D90" s="15"/>
      <c r="E90" s="15"/>
      <c r="F90" s="15"/>
      <c r="G90" s="15"/>
      <c r="H90" s="1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1:37" ht="12.75" customHeight="1">
      <c r="A91" s="8"/>
      <c r="B91" s="15"/>
      <c r="C91" s="15"/>
      <c r="D91" s="15"/>
      <c r="E91" s="15"/>
      <c r="F91" s="15"/>
      <c r="G91" s="15"/>
      <c r="H91" s="1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1:37" ht="12.75" customHeight="1">
      <c r="A92" s="8"/>
      <c r="B92" s="15"/>
      <c r="C92" s="15"/>
      <c r="D92" s="15"/>
      <c r="E92" s="15"/>
      <c r="F92" s="15"/>
      <c r="G92" s="15"/>
      <c r="H92" s="1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 ht="12.75" customHeight="1">
      <c r="A93" s="8"/>
      <c r="B93" s="15"/>
      <c r="C93" s="15"/>
      <c r="D93" s="15"/>
      <c r="E93" s="15"/>
      <c r="F93" s="15"/>
      <c r="G93" s="15"/>
      <c r="H93" s="1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 ht="12.75" customHeight="1">
      <c r="A94" s="8"/>
      <c r="B94" s="15"/>
      <c r="C94" s="15"/>
      <c r="D94" s="15"/>
      <c r="E94" s="15"/>
      <c r="F94" s="15"/>
      <c r="G94" s="15"/>
      <c r="H94" s="1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spans="1:37" ht="12.75" customHeight="1">
      <c r="A95" s="8"/>
      <c r="B95" s="15"/>
      <c r="C95" s="15"/>
      <c r="D95" s="15"/>
      <c r="E95" s="15"/>
      <c r="F95" s="15"/>
      <c r="G95" s="15"/>
      <c r="H95" s="1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1:37" ht="12.75" customHeight="1">
      <c r="A96" s="8"/>
      <c r="B96" s="15"/>
      <c r="C96" s="15"/>
      <c r="D96" s="15"/>
      <c r="E96" s="15"/>
      <c r="F96" s="15"/>
      <c r="G96" s="15"/>
      <c r="H96" s="1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1:37" ht="12.75" customHeight="1">
      <c r="A97" s="8"/>
      <c r="B97" s="15"/>
      <c r="C97" s="15"/>
      <c r="D97" s="15"/>
      <c r="E97" s="15"/>
      <c r="F97" s="15"/>
      <c r="G97" s="15"/>
      <c r="H97" s="1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spans="1:37" ht="12.75" customHeight="1">
      <c r="A98" s="8"/>
      <c r="B98" s="15"/>
      <c r="C98" s="15"/>
      <c r="D98" s="15"/>
      <c r="E98" s="15"/>
      <c r="F98" s="15"/>
      <c r="G98" s="15"/>
      <c r="H98" s="1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spans="1:37" ht="12.75" customHeight="1">
      <c r="A99" s="8"/>
      <c r="B99" s="15"/>
      <c r="C99" s="15"/>
      <c r="D99" s="15"/>
      <c r="E99" s="15"/>
      <c r="F99" s="15"/>
      <c r="G99" s="15"/>
      <c r="H99" s="1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spans="1:37" ht="12.75" customHeight="1">
      <c r="A100" s="8"/>
      <c r="B100" s="15"/>
      <c r="C100" s="15"/>
      <c r="D100" s="15"/>
      <c r="E100" s="15"/>
      <c r="F100" s="15"/>
      <c r="G100" s="15"/>
      <c r="H100" s="1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spans="1:37" ht="12.75" customHeight="1">
      <c r="A101" s="8"/>
      <c r="B101" s="15"/>
      <c r="C101" s="15"/>
      <c r="D101" s="15"/>
      <c r="E101" s="15"/>
      <c r="F101" s="15"/>
      <c r="G101" s="15"/>
      <c r="H101" s="1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spans="1:37" ht="12.75" customHeight="1">
      <c r="A102" s="8"/>
      <c r="B102" s="15"/>
      <c r="C102" s="15"/>
      <c r="D102" s="15"/>
      <c r="E102" s="15"/>
      <c r="F102" s="15"/>
      <c r="G102" s="15"/>
      <c r="H102" s="1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spans="1:37" ht="12.75" customHeight="1">
      <c r="A103" s="8"/>
      <c r="B103" s="15"/>
      <c r="C103" s="15"/>
      <c r="D103" s="15"/>
      <c r="E103" s="15"/>
      <c r="F103" s="15"/>
      <c r="G103" s="15"/>
      <c r="H103" s="1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spans="1:37" ht="12.75" customHeight="1">
      <c r="A104" s="8"/>
      <c r="B104" s="15"/>
      <c r="C104" s="15"/>
      <c r="D104" s="15"/>
      <c r="E104" s="15"/>
      <c r="F104" s="15"/>
      <c r="G104" s="15"/>
      <c r="H104" s="1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spans="1:37" ht="12.75" customHeight="1">
      <c r="A105" s="6"/>
      <c r="B105" s="228"/>
      <c r="C105" s="228"/>
      <c r="D105" s="228"/>
      <c r="E105" s="228"/>
      <c r="F105" s="228"/>
      <c r="G105" s="228"/>
      <c r="H105" s="14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spans="1:37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</sheetData>
  <mergeCells count="88">
    <mergeCell ref="AB15:AB16"/>
    <mergeCell ref="J6:K6"/>
    <mergeCell ref="J9:K9"/>
    <mergeCell ref="G12:H12"/>
    <mergeCell ref="J12:K12"/>
    <mergeCell ref="G11:H11"/>
    <mergeCell ref="G13:H13"/>
    <mergeCell ref="G14:H14"/>
    <mergeCell ref="G15:H15"/>
    <mergeCell ref="Y17:Z17"/>
    <mergeCell ref="G4:H4"/>
    <mergeCell ref="G5:H5"/>
    <mergeCell ref="M11:N11"/>
    <mergeCell ref="Q11:R11"/>
    <mergeCell ref="M10:N10"/>
    <mergeCell ref="Q10:R10"/>
    <mergeCell ref="M12:N12"/>
    <mergeCell ref="Q12:R12"/>
    <mergeCell ref="M4:M5"/>
    <mergeCell ref="P4:P5"/>
    <mergeCell ref="Q15:R15"/>
    <mergeCell ref="Q13:R13"/>
    <mergeCell ref="Q14:R14"/>
    <mergeCell ref="B51:C51"/>
    <mergeCell ref="D51:E51"/>
    <mergeCell ref="D54:E56"/>
    <mergeCell ref="A1:T1"/>
    <mergeCell ref="J3:L3"/>
    <mergeCell ref="M3:N3"/>
    <mergeCell ref="Q3:S3"/>
    <mergeCell ref="J20:K20"/>
    <mergeCell ref="F48:G48"/>
    <mergeCell ref="F51:G51"/>
    <mergeCell ref="K56:L56"/>
    <mergeCell ref="G6:H6"/>
    <mergeCell ref="G8:H8"/>
    <mergeCell ref="G9:H9"/>
    <mergeCell ref="J21:K21"/>
    <mergeCell ref="J22:K22"/>
    <mergeCell ref="B75:C75"/>
    <mergeCell ref="D75:E75"/>
    <mergeCell ref="F75:G75"/>
    <mergeCell ref="A52:A53"/>
    <mergeCell ref="A54:A56"/>
    <mergeCell ref="D57:E72"/>
    <mergeCell ref="F57:G72"/>
    <mergeCell ref="B54:C56"/>
    <mergeCell ref="F54:G56"/>
    <mergeCell ref="A57:A72"/>
    <mergeCell ref="B57:C72"/>
    <mergeCell ref="K75:L75"/>
    <mergeCell ref="K67:L67"/>
    <mergeCell ref="K68:L68"/>
    <mergeCell ref="K69:L69"/>
    <mergeCell ref="K70:L70"/>
    <mergeCell ref="K71:L71"/>
    <mergeCell ref="H52:H53"/>
    <mergeCell ref="F52:G53"/>
    <mergeCell ref="K72:L72"/>
    <mergeCell ref="K61:L61"/>
    <mergeCell ref="K62:L62"/>
    <mergeCell ref="K63:L63"/>
    <mergeCell ref="K64:L64"/>
    <mergeCell ref="K65:L65"/>
    <mergeCell ref="K66:L66"/>
    <mergeCell ref="H54:H56"/>
    <mergeCell ref="J26:K26"/>
    <mergeCell ref="E28:F28"/>
    <mergeCell ref="E29:F29"/>
    <mergeCell ref="E30:F30"/>
    <mergeCell ref="G7:H7"/>
    <mergeCell ref="G10:H10"/>
    <mergeCell ref="A77:M77"/>
    <mergeCell ref="K51:L51"/>
    <mergeCell ref="O41:O42"/>
    <mergeCell ref="K58:L58"/>
    <mergeCell ref="K59:L59"/>
    <mergeCell ref="K60:L60"/>
    <mergeCell ref="N47:O47"/>
    <mergeCell ref="N48:O48"/>
    <mergeCell ref="K52:L52"/>
    <mergeCell ref="K57:L57"/>
    <mergeCell ref="K54:L54"/>
    <mergeCell ref="K55:L55"/>
    <mergeCell ref="H57:H72"/>
    <mergeCell ref="B52:C53"/>
    <mergeCell ref="D52:E53"/>
    <mergeCell ref="K53:L53"/>
  </mergeCells>
  <pageMargins left="0.5" right="0" top="0.33" bottom="0.38" header="0" footer="0"/>
  <pageSetup paperSize="9" scale="5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"/>
  <sheetViews>
    <sheetView topLeftCell="A46" workbookViewId="0"/>
  </sheetViews>
  <sheetFormatPr defaultColWidth="12.5546875" defaultRowHeight="15" customHeight="1"/>
  <cols>
    <col min="1" max="1" width="5.77734375" customWidth="1"/>
    <col min="2" max="2" width="8.77734375" customWidth="1"/>
    <col min="3" max="3" width="5.77734375" customWidth="1"/>
    <col min="4" max="4" width="11.44140625" customWidth="1"/>
    <col min="5" max="5" width="5.21875" customWidth="1"/>
    <col min="6" max="6" width="10.77734375" customWidth="1"/>
    <col min="7" max="7" width="8" customWidth="1"/>
    <col min="8" max="8" width="12.44140625" customWidth="1"/>
    <col min="9" max="9" width="2.77734375" customWidth="1"/>
    <col min="10" max="10" width="10" customWidth="1"/>
    <col min="11" max="11" width="3.21875" customWidth="1"/>
    <col min="12" max="12" width="9.44140625" customWidth="1"/>
    <col min="13" max="13" width="10.21875" customWidth="1"/>
    <col min="14" max="14" width="8.44140625" customWidth="1"/>
    <col min="15" max="15" width="12.21875" customWidth="1"/>
    <col min="16" max="16" width="9.44140625" customWidth="1"/>
    <col min="17" max="17" width="8.33203125" bestFit="1" customWidth="1"/>
    <col min="18" max="25" width="8" customWidth="1"/>
  </cols>
  <sheetData>
    <row r="1" spans="1:25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2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2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75" customHeight="1">
      <c r="A4" s="313" t="s">
        <v>241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33"/>
      <c r="S4" s="233"/>
      <c r="T4" s="233"/>
      <c r="U4" s="4"/>
      <c r="V4" s="4"/>
      <c r="W4" s="4"/>
      <c r="X4" s="4"/>
      <c r="Y4" s="4"/>
    </row>
    <row r="5" spans="1:25" ht="12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234" t="s">
        <v>0</v>
      </c>
      <c r="Q5" s="4"/>
      <c r="R5" s="4"/>
      <c r="S5" s="4"/>
      <c r="T5" s="4"/>
      <c r="U5" s="4"/>
      <c r="V5" s="4"/>
      <c r="W5" s="4"/>
      <c r="X5" s="4"/>
      <c r="Y5" s="4"/>
    </row>
    <row r="6" spans="1:25" ht="12.75" customHeight="1">
      <c r="A6" s="4"/>
      <c r="B6" s="4"/>
      <c r="C6" s="4"/>
      <c r="D6" s="4"/>
      <c r="E6" s="314" t="s">
        <v>242</v>
      </c>
      <c r="F6" s="261"/>
      <c r="G6" s="261"/>
      <c r="H6" s="61"/>
      <c r="I6" s="314" t="s">
        <v>243</v>
      </c>
      <c r="J6" s="261"/>
      <c r="K6" s="261"/>
      <c r="L6" s="61"/>
      <c r="M6" s="61" t="s">
        <v>244</v>
      </c>
      <c r="N6" s="61"/>
      <c r="O6" s="61"/>
      <c r="P6" s="61"/>
      <c r="Q6" s="4"/>
      <c r="R6" s="4"/>
      <c r="S6" s="4"/>
      <c r="T6" s="4"/>
      <c r="U6" s="4"/>
      <c r="V6" s="4"/>
      <c r="W6" s="4"/>
      <c r="X6" s="4"/>
      <c r="Y6" s="4"/>
    </row>
    <row r="7" spans="1:25" ht="12.75" customHeight="1">
      <c r="A7" s="4"/>
      <c r="B7" s="4"/>
      <c r="C7" s="4"/>
      <c r="D7" s="4"/>
      <c r="E7" s="4"/>
      <c r="F7" s="235"/>
      <c r="G7" s="235"/>
      <c r="H7" s="235"/>
      <c r="I7" s="25"/>
      <c r="J7" s="235"/>
      <c r="K7" s="235"/>
      <c r="L7" s="235"/>
      <c r="M7" s="3"/>
      <c r="N7" s="235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22.5" customHeight="1">
      <c r="A8" s="8"/>
      <c r="B8" s="8"/>
      <c r="C8" s="8"/>
      <c r="D8" s="8"/>
      <c r="E8" s="8"/>
      <c r="F8" s="309">
        <v>18.5</v>
      </c>
      <c r="G8" s="263"/>
      <c r="H8" s="100"/>
      <c r="I8" s="76"/>
      <c r="J8" s="309">
        <v>145533</v>
      </c>
      <c r="K8" s="263"/>
      <c r="L8" s="100"/>
      <c r="M8" s="8"/>
      <c r="N8" s="309">
        <v>1539609</v>
      </c>
      <c r="O8" s="263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22.5" customHeight="1">
      <c r="A9" s="8"/>
      <c r="B9" s="8"/>
      <c r="C9" s="8"/>
      <c r="D9" s="8"/>
      <c r="E9" s="8"/>
      <c r="F9" s="309">
        <v>18.5</v>
      </c>
      <c r="G9" s="263"/>
      <c r="H9" s="100"/>
      <c r="I9" s="76"/>
      <c r="J9" s="309">
        <v>145533</v>
      </c>
      <c r="K9" s="263"/>
      <c r="L9" s="100"/>
      <c r="M9" s="8"/>
      <c r="N9" s="309">
        <v>1539609</v>
      </c>
      <c r="O9" s="263"/>
      <c r="P9" s="8" t="s">
        <v>4</v>
      </c>
      <c r="Q9" s="8"/>
      <c r="R9" s="8"/>
      <c r="S9" s="8"/>
      <c r="T9" s="8"/>
      <c r="U9" s="8"/>
      <c r="V9" s="8"/>
      <c r="W9" s="8"/>
      <c r="X9" s="8"/>
      <c r="Y9" s="8"/>
    </row>
    <row r="10" spans="1:25" ht="22.5" customHeight="1">
      <c r="A10" s="8"/>
      <c r="B10" s="8"/>
      <c r="C10" s="8"/>
      <c r="D10" s="8"/>
      <c r="E10" s="8"/>
      <c r="F10" s="312">
        <f>SUM(F8-F9)*480</f>
        <v>0</v>
      </c>
      <c r="G10" s="263"/>
      <c r="H10" s="134" t="s">
        <v>245</v>
      </c>
      <c r="I10" s="76"/>
      <c r="J10" s="312">
        <f>SUM(J8-J9)*0.48</f>
        <v>0</v>
      </c>
      <c r="K10" s="263"/>
      <c r="L10" s="134" t="s">
        <v>38</v>
      </c>
      <c r="M10" s="8"/>
      <c r="N10" s="312">
        <f>SUM(N8-N9)*1</f>
        <v>0</v>
      </c>
      <c r="O10" s="263"/>
      <c r="P10" s="134" t="s">
        <v>3</v>
      </c>
      <c r="Q10" s="8"/>
      <c r="R10" s="8"/>
      <c r="S10" s="8"/>
      <c r="T10" s="8"/>
      <c r="U10" s="8"/>
      <c r="V10" s="8"/>
      <c r="W10" s="8"/>
      <c r="X10" s="8"/>
      <c r="Y10" s="8"/>
    </row>
    <row r="11" spans="1:25" ht="22.5" customHeight="1">
      <c r="A11" s="8"/>
      <c r="B11" s="8"/>
      <c r="C11" s="8"/>
      <c r="D11" s="8"/>
      <c r="E11" s="8"/>
      <c r="F11" s="308"/>
      <c r="G11" s="263"/>
      <c r="H11" s="100"/>
      <c r="I11" s="76"/>
      <c r="J11" s="308">
        <v>494102</v>
      </c>
      <c r="K11" s="263"/>
      <c r="L11" s="100"/>
      <c r="M11" s="15"/>
      <c r="N11" s="309"/>
      <c r="O11" s="263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22.5" customHeight="1">
      <c r="A12" s="8"/>
      <c r="B12" s="8"/>
      <c r="C12" s="8"/>
      <c r="D12" s="8"/>
      <c r="E12" s="8"/>
      <c r="F12" s="308"/>
      <c r="G12" s="263"/>
      <c r="H12" s="134"/>
      <c r="I12" s="134"/>
      <c r="J12" s="308">
        <v>494102</v>
      </c>
      <c r="K12" s="263"/>
      <c r="L12" s="100"/>
      <c r="M12" s="8"/>
      <c r="N12" s="311"/>
      <c r="O12" s="263"/>
      <c r="P12" s="134"/>
      <c r="Q12" s="8"/>
      <c r="R12" s="8"/>
      <c r="S12" s="8"/>
      <c r="T12" s="8"/>
      <c r="U12" s="8"/>
      <c r="V12" s="8"/>
      <c r="W12" s="8"/>
      <c r="X12" s="8"/>
      <c r="Y12" s="8"/>
    </row>
    <row r="13" spans="1:25" ht="22.5" customHeight="1">
      <c r="A13" s="8"/>
      <c r="B13" s="8"/>
      <c r="C13" s="8"/>
      <c r="D13" s="8"/>
      <c r="E13" s="8"/>
      <c r="F13" s="311" t="s">
        <v>26</v>
      </c>
      <c r="G13" s="263"/>
      <c r="H13" s="134"/>
      <c r="I13" s="134"/>
      <c r="J13" s="312">
        <f>SUM(J11-J12)*1</f>
        <v>0</v>
      </c>
      <c r="K13" s="263"/>
      <c r="L13" s="134" t="s">
        <v>2</v>
      </c>
      <c r="M13" s="8"/>
      <c r="N13" s="311"/>
      <c r="O13" s="263"/>
      <c r="P13" s="134"/>
      <c r="Q13" s="8"/>
      <c r="R13" s="8"/>
      <c r="S13" s="8"/>
      <c r="T13" s="8"/>
      <c r="U13" s="8"/>
      <c r="V13" s="8"/>
      <c r="W13" s="8"/>
      <c r="X13" s="8"/>
      <c r="Y13" s="8"/>
    </row>
    <row r="14" spans="1:25" ht="22.5" customHeight="1">
      <c r="A14" s="8"/>
      <c r="B14" s="8"/>
      <c r="C14" s="8"/>
      <c r="D14" s="8"/>
      <c r="E14" s="8"/>
      <c r="F14" s="308">
        <v>46361</v>
      </c>
      <c r="G14" s="263"/>
      <c r="H14" s="134"/>
      <c r="I14" s="76"/>
      <c r="J14" s="312">
        <v>427</v>
      </c>
      <c r="K14" s="263"/>
      <c r="L14" s="100"/>
      <c r="M14" s="8"/>
      <c r="N14" s="308">
        <v>3220843</v>
      </c>
      <c r="O14" s="263"/>
      <c r="P14" s="134"/>
      <c r="Q14" s="100"/>
      <c r="R14" s="8"/>
      <c r="S14" s="8"/>
      <c r="T14" s="8"/>
      <c r="U14" s="8"/>
      <c r="V14" s="8"/>
      <c r="W14" s="8"/>
      <c r="X14" s="8"/>
      <c r="Y14" s="8"/>
    </row>
    <row r="15" spans="1:25" ht="22.5" customHeight="1">
      <c r="A15" s="8"/>
      <c r="B15" s="8"/>
      <c r="C15" s="8"/>
      <c r="D15" s="8"/>
      <c r="E15" s="8"/>
      <c r="F15" s="308">
        <v>46217</v>
      </c>
      <c r="G15" s="263"/>
      <c r="H15" s="134"/>
      <c r="I15" s="76"/>
      <c r="J15" s="312">
        <v>427</v>
      </c>
      <c r="K15" s="263"/>
      <c r="L15" s="100"/>
      <c r="M15" s="8"/>
      <c r="N15" s="308">
        <v>3207185</v>
      </c>
      <c r="O15" s="263"/>
      <c r="P15" s="134"/>
      <c r="Q15" s="119"/>
      <c r="R15" s="8"/>
      <c r="S15" s="8"/>
      <c r="T15" s="8"/>
      <c r="U15" s="8"/>
      <c r="V15" s="8"/>
      <c r="W15" s="8"/>
      <c r="X15" s="8"/>
      <c r="Y15" s="8"/>
    </row>
    <row r="16" spans="1:25" ht="22.5" customHeight="1">
      <c r="A16" s="8"/>
      <c r="B16" s="8"/>
      <c r="C16" s="8"/>
      <c r="D16" s="8"/>
      <c r="E16" s="8"/>
      <c r="F16" s="312">
        <f>SUM(F14-F15)*1</f>
        <v>144</v>
      </c>
      <c r="G16" s="263"/>
      <c r="H16" s="134" t="s">
        <v>5</v>
      </c>
      <c r="I16" s="76"/>
      <c r="J16" s="312">
        <f>SUM(J14-J15)*1</f>
        <v>0</v>
      </c>
      <c r="K16" s="263"/>
      <c r="L16" s="134" t="s">
        <v>22</v>
      </c>
      <c r="M16" s="8"/>
      <c r="N16" s="312">
        <f>SUM(N14-N15)*1</f>
        <v>13658</v>
      </c>
      <c r="O16" s="263"/>
      <c r="P16" s="134" t="s">
        <v>5</v>
      </c>
      <c r="Q16" s="236"/>
      <c r="R16" s="8"/>
      <c r="S16" s="8"/>
      <c r="T16" s="8"/>
      <c r="U16" s="8"/>
      <c r="V16" s="8"/>
      <c r="W16" s="8"/>
      <c r="X16" s="8"/>
      <c r="Y16" s="8"/>
    </row>
    <row r="17" spans="1:25" ht="22.5" customHeight="1">
      <c r="A17" s="8"/>
      <c r="B17" s="8"/>
      <c r="C17" s="8"/>
      <c r="D17" s="8"/>
      <c r="E17" s="8"/>
      <c r="F17" s="305"/>
      <c r="G17" s="261"/>
      <c r="H17" s="100"/>
      <c r="I17" s="76"/>
      <c r="J17" s="100"/>
      <c r="K17" s="100"/>
      <c r="L17" s="100"/>
      <c r="M17" s="8"/>
      <c r="N17" s="318"/>
      <c r="O17" s="319"/>
      <c r="P17" s="100"/>
      <c r="Q17" s="8"/>
      <c r="R17" s="8"/>
      <c r="S17" s="8"/>
      <c r="T17" s="8"/>
      <c r="U17" s="8"/>
      <c r="V17" s="8"/>
      <c r="W17" s="8"/>
      <c r="X17" s="8"/>
      <c r="Y17" s="8"/>
    </row>
    <row r="18" spans="1:25" ht="22.5" customHeight="1">
      <c r="A18" s="8"/>
      <c r="B18" s="8"/>
      <c r="C18" s="8"/>
      <c r="D18" s="8"/>
      <c r="E18" s="8"/>
      <c r="F18" s="305" t="s">
        <v>6</v>
      </c>
      <c r="G18" s="261"/>
      <c r="H18" s="100"/>
      <c r="I18" s="76"/>
      <c r="J18" s="305" t="s">
        <v>6</v>
      </c>
      <c r="K18" s="261"/>
      <c r="L18" s="100"/>
      <c r="M18" s="8"/>
      <c r="N18" s="305" t="s">
        <v>6</v>
      </c>
      <c r="O18" s="261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22.5" customHeight="1">
      <c r="A19" s="8"/>
      <c r="B19" s="8"/>
      <c r="C19" s="8"/>
      <c r="D19" s="8"/>
      <c r="E19" s="8"/>
      <c r="F19" s="305"/>
      <c r="G19" s="261"/>
      <c r="H19" s="100"/>
      <c r="I19" s="76"/>
      <c r="J19" s="305"/>
      <c r="K19" s="261"/>
      <c r="L19" s="100"/>
      <c r="M19" s="8"/>
      <c r="N19" s="305"/>
      <c r="O19" s="261"/>
      <c r="P19" s="237" t="s">
        <v>7</v>
      </c>
      <c r="Q19" s="238"/>
      <c r="R19" s="8"/>
      <c r="S19" s="8"/>
      <c r="T19" s="8"/>
      <c r="U19" s="8"/>
      <c r="V19" s="8"/>
      <c r="W19" s="8"/>
      <c r="X19" s="8"/>
      <c r="Y19" s="8"/>
    </row>
    <row r="20" spans="1:25" ht="22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22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34"/>
      <c r="Q21" s="17"/>
      <c r="R21" s="8"/>
      <c r="S21" s="8"/>
      <c r="T21" s="8"/>
      <c r="U21" s="8"/>
      <c r="V21" s="8"/>
      <c r="W21" s="8"/>
      <c r="X21" s="8"/>
      <c r="Y21" s="8"/>
    </row>
    <row r="22" spans="1:25" ht="22.5" customHeight="1">
      <c r="A22" s="8"/>
      <c r="B22" s="8"/>
      <c r="C22" s="8"/>
      <c r="D22" s="8"/>
      <c r="E22" s="8"/>
      <c r="F22" s="8"/>
      <c r="G22" s="317"/>
      <c r="H22" s="265"/>
      <c r="I22" s="8"/>
      <c r="J22" s="8"/>
      <c r="K22" s="8"/>
      <c r="L22" s="8"/>
      <c r="M22" s="8"/>
      <c r="N22" s="8"/>
      <c r="O22" s="8"/>
      <c r="P22" s="8"/>
      <c r="Q22" s="17"/>
      <c r="R22" s="8"/>
      <c r="S22" s="8"/>
      <c r="T22" s="8"/>
      <c r="U22" s="8"/>
      <c r="V22" s="8"/>
      <c r="W22" s="8"/>
      <c r="X22" s="8"/>
      <c r="Y22" s="8"/>
    </row>
    <row r="23" spans="1:25" ht="22.5" customHeight="1">
      <c r="A23" s="8"/>
      <c r="B23" s="8"/>
      <c r="C23" s="8"/>
      <c r="D23" s="13" t="s">
        <v>246</v>
      </c>
      <c r="E23" s="13"/>
      <c r="F23" s="76"/>
      <c r="G23" s="317"/>
      <c r="H23" s="265"/>
      <c r="I23" s="8"/>
      <c r="J23" s="13" t="s">
        <v>247</v>
      </c>
      <c r="K23" s="8"/>
      <c r="L23" s="76"/>
      <c r="M23" s="320" t="s">
        <v>9</v>
      </c>
      <c r="N23" s="261"/>
      <c r="O23" s="8"/>
      <c r="P23" s="8"/>
      <c r="Q23" s="17"/>
      <c r="R23" s="8"/>
      <c r="S23" s="8"/>
      <c r="T23" s="8"/>
      <c r="U23" s="8"/>
      <c r="V23" s="8"/>
      <c r="W23" s="8"/>
      <c r="X23" s="8"/>
      <c r="Y23" s="8"/>
    </row>
    <row r="24" spans="1:25" ht="22.5" customHeight="1">
      <c r="A24" s="8"/>
      <c r="B24" s="8"/>
      <c r="C24" s="8"/>
      <c r="D24" s="239" t="s">
        <v>248</v>
      </c>
      <c r="E24" s="239"/>
      <c r="F24" s="76"/>
      <c r="G24" s="8"/>
      <c r="H24" s="8"/>
      <c r="I24" s="134"/>
      <c r="J24" s="13" t="s">
        <v>249</v>
      </c>
      <c r="K24" s="8"/>
      <c r="L24" s="76"/>
      <c r="M24" s="302" t="s">
        <v>250</v>
      </c>
      <c r="N24" s="261"/>
      <c r="O24" s="8"/>
      <c r="P24" s="8"/>
      <c r="Q24" s="17"/>
      <c r="R24" s="17"/>
      <c r="S24" s="8"/>
      <c r="T24" s="8"/>
      <c r="U24" s="8"/>
      <c r="V24" s="8"/>
      <c r="W24" s="8"/>
      <c r="X24" s="8"/>
      <c r="Y24" s="8"/>
    </row>
    <row r="25" spans="1:25" ht="22.5" customHeight="1">
      <c r="A25" s="8"/>
      <c r="B25" s="8"/>
      <c r="C25" s="13"/>
      <c r="D25" s="308">
        <v>1150.7809999999999</v>
      </c>
      <c r="E25" s="263"/>
      <c r="F25" s="8"/>
      <c r="G25" s="8"/>
      <c r="H25" s="8"/>
      <c r="I25" s="308">
        <v>111514</v>
      </c>
      <c r="J25" s="263"/>
      <c r="K25" s="8"/>
      <c r="L25" s="8"/>
      <c r="M25" s="308">
        <v>967.45100000000002</v>
      </c>
      <c r="N25" s="263"/>
      <c r="O25" s="8"/>
      <c r="P25" s="8"/>
      <c r="Q25" s="240"/>
      <c r="R25" s="17"/>
      <c r="S25" s="8"/>
      <c r="T25" s="8"/>
      <c r="U25" s="8"/>
      <c r="V25" s="8"/>
      <c r="W25" s="8"/>
      <c r="X25" s="8"/>
      <c r="Y25" s="8"/>
    </row>
    <row r="26" spans="1:25" ht="22.5" customHeight="1">
      <c r="A26" s="8"/>
      <c r="B26" s="8"/>
      <c r="C26" s="13"/>
      <c r="D26" s="308">
        <v>1125.7249999999999</v>
      </c>
      <c r="E26" s="263"/>
      <c r="F26" s="8"/>
      <c r="G26" s="8"/>
      <c r="H26" s="8"/>
      <c r="I26" s="308">
        <v>111514</v>
      </c>
      <c r="J26" s="263"/>
      <c r="K26" s="8"/>
      <c r="L26" s="8"/>
      <c r="M26" s="308">
        <v>946.54200000000003</v>
      </c>
      <c r="N26" s="263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22.5" customHeight="1">
      <c r="A27" s="8"/>
      <c r="B27" s="8"/>
      <c r="C27" s="13"/>
      <c r="D27" s="309">
        <f>SUM(D25-D26)*240</f>
        <v>6013.4400000000096</v>
      </c>
      <c r="E27" s="263"/>
      <c r="F27" s="8"/>
      <c r="G27" s="8"/>
      <c r="H27" s="100" t="s">
        <v>251</v>
      </c>
      <c r="I27" s="309">
        <f>SUM(I25-I26)*0.12</f>
        <v>0</v>
      </c>
      <c r="J27" s="263"/>
      <c r="K27" s="8"/>
      <c r="L27" s="8"/>
      <c r="M27" s="309">
        <f>SUM(M25-M26)*370</f>
        <v>7736.3299999999972</v>
      </c>
      <c r="N27" s="263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22.5" customHeight="1">
      <c r="A28" s="8"/>
      <c r="B28" s="8"/>
      <c r="C28" s="8"/>
      <c r="D28" s="100" t="s">
        <v>252</v>
      </c>
      <c r="E28" s="100"/>
      <c r="F28" s="8"/>
      <c r="G28" s="8"/>
      <c r="H28" s="134" t="s">
        <v>163</v>
      </c>
      <c r="I28" s="310"/>
      <c r="J28" s="261"/>
      <c r="K28" s="8"/>
      <c r="L28" s="8"/>
      <c r="M28" s="8"/>
      <c r="N28" s="8"/>
      <c r="O28" s="100" t="s">
        <v>253</v>
      </c>
      <c r="P28" s="100"/>
      <c r="Q28" s="8"/>
      <c r="R28" s="15"/>
      <c r="S28" s="8"/>
      <c r="T28" s="8"/>
      <c r="U28" s="8"/>
      <c r="V28" s="8"/>
      <c r="W28" s="8"/>
      <c r="X28" s="8"/>
      <c r="Y28" s="8"/>
    </row>
    <row r="29" spans="1:25" ht="22.5" customHeight="1">
      <c r="A29" s="8"/>
      <c r="B29" s="8"/>
      <c r="C29" s="8"/>
      <c r="D29" s="305" t="s">
        <v>254</v>
      </c>
      <c r="E29" s="261"/>
      <c r="F29" s="8"/>
      <c r="G29" s="8"/>
      <c r="H29" s="8"/>
      <c r="I29" s="310"/>
      <c r="J29" s="261"/>
      <c r="K29" s="8"/>
      <c r="L29" s="8"/>
      <c r="M29" s="8"/>
      <c r="N29" s="8"/>
      <c r="O29" s="134" t="s">
        <v>129</v>
      </c>
      <c r="P29" s="134"/>
      <c r="Q29" s="8"/>
      <c r="R29" s="8"/>
      <c r="S29" s="8"/>
      <c r="T29" s="8"/>
      <c r="U29" s="8"/>
      <c r="V29" s="8"/>
      <c r="W29" s="8"/>
      <c r="X29" s="8"/>
      <c r="Y29" s="8"/>
    </row>
    <row r="30" spans="1:25" ht="22.5" customHeight="1">
      <c r="A30" s="76"/>
      <c r="B30" s="76"/>
      <c r="C30" s="76"/>
      <c r="D30" s="305"/>
      <c r="E30" s="261"/>
      <c r="F30" s="76"/>
      <c r="G30" s="76"/>
      <c r="H30" s="76"/>
      <c r="I30" s="76"/>
      <c r="J30" s="76"/>
      <c r="K30" s="76"/>
      <c r="L30" s="76"/>
      <c r="M30" s="76"/>
      <c r="N30" s="76"/>
      <c r="O30" s="306" t="s">
        <v>13</v>
      </c>
      <c r="P30" s="261"/>
      <c r="Q30" s="76"/>
      <c r="R30" s="76"/>
      <c r="S30" s="76"/>
      <c r="T30" s="76"/>
      <c r="U30" s="76"/>
      <c r="V30" s="76"/>
      <c r="W30" s="76"/>
      <c r="X30" s="76"/>
      <c r="Y30" s="76"/>
    </row>
    <row r="31" spans="1:25" ht="22.5" customHeight="1">
      <c r="A31" s="13"/>
      <c r="B31" s="13" t="s">
        <v>14</v>
      </c>
      <c r="C31" s="8"/>
      <c r="D31" s="13" t="s">
        <v>14</v>
      </c>
      <c r="E31" s="8"/>
      <c r="F31" s="13" t="s">
        <v>14</v>
      </c>
      <c r="G31" s="13"/>
      <c r="H31" s="13" t="s">
        <v>255</v>
      </c>
      <c r="I31" s="13"/>
      <c r="J31" s="13" t="s">
        <v>14</v>
      </c>
      <c r="K31" s="13"/>
      <c r="L31" s="13" t="s">
        <v>54</v>
      </c>
      <c r="M31" s="13" t="s">
        <v>54</v>
      </c>
      <c r="N31" s="13" t="s">
        <v>14</v>
      </c>
      <c r="O31" s="13" t="s">
        <v>14</v>
      </c>
      <c r="P31" s="13" t="s">
        <v>54</v>
      </c>
      <c r="Q31" s="8"/>
      <c r="R31" s="8"/>
      <c r="S31" s="8"/>
      <c r="T31" s="8"/>
      <c r="U31" s="8"/>
      <c r="V31" s="8"/>
      <c r="W31" s="8"/>
      <c r="X31" s="8"/>
      <c r="Y31" s="8"/>
    </row>
    <row r="32" spans="1:25" ht="22.5" customHeight="1">
      <c r="A32" s="13"/>
      <c r="B32" s="13" t="s">
        <v>238</v>
      </c>
      <c r="C32" s="8"/>
      <c r="D32" s="13" t="s">
        <v>166</v>
      </c>
      <c r="E32" s="8"/>
      <c r="F32" s="13" t="s">
        <v>256</v>
      </c>
      <c r="G32" s="13"/>
      <c r="H32" s="13" t="s">
        <v>257</v>
      </c>
      <c r="I32" s="13"/>
      <c r="J32" s="13" t="s">
        <v>256</v>
      </c>
      <c r="K32" s="13"/>
      <c r="L32" s="13" t="s">
        <v>139</v>
      </c>
      <c r="M32" s="13" t="s">
        <v>258</v>
      </c>
      <c r="N32" s="13" t="s">
        <v>4</v>
      </c>
      <c r="O32" s="13" t="s">
        <v>259</v>
      </c>
      <c r="P32" s="13" t="s">
        <v>4</v>
      </c>
      <c r="Q32" s="8"/>
      <c r="R32" s="8"/>
      <c r="S32" s="8"/>
      <c r="T32" s="8"/>
      <c r="U32" s="8"/>
      <c r="V32" s="8"/>
      <c r="W32" s="8"/>
      <c r="X32" s="8"/>
      <c r="Y32" s="8"/>
    </row>
    <row r="33" spans="1:25" ht="22.5" customHeight="1">
      <c r="A33" s="8"/>
      <c r="B33" s="11">
        <v>2</v>
      </c>
      <c r="C33" s="8"/>
      <c r="D33" s="11">
        <v>3</v>
      </c>
      <c r="E33" s="8"/>
      <c r="F33" s="11">
        <v>4</v>
      </c>
      <c r="G33" s="8"/>
      <c r="H33" s="11">
        <v>6</v>
      </c>
      <c r="I33" s="8"/>
      <c r="J33" s="11">
        <v>7</v>
      </c>
      <c r="K33" s="8"/>
      <c r="L33" s="11">
        <v>10</v>
      </c>
      <c r="M33" s="11">
        <v>11</v>
      </c>
      <c r="N33" s="11">
        <v>12</v>
      </c>
      <c r="O33" s="11">
        <v>13</v>
      </c>
      <c r="P33" s="11">
        <v>14</v>
      </c>
      <c r="Q33" s="8"/>
      <c r="R33" s="8"/>
      <c r="S33" s="8"/>
      <c r="T33" s="8"/>
      <c r="U33" s="8"/>
      <c r="V33" s="8"/>
      <c r="W33" s="8"/>
      <c r="X33" s="8"/>
      <c r="Y33" s="8"/>
    </row>
    <row r="34" spans="1:25" ht="22.5" customHeight="1">
      <c r="A34" s="17"/>
      <c r="B34" s="241">
        <v>2395274</v>
      </c>
      <c r="C34" s="11"/>
      <c r="D34" s="242">
        <v>28.814699000000001</v>
      </c>
      <c r="E34" s="8"/>
      <c r="F34" s="243">
        <v>197455.75</v>
      </c>
      <c r="G34" s="244"/>
      <c r="H34" s="245">
        <v>26.248298999999999</v>
      </c>
      <c r="I34" s="17"/>
      <c r="J34" s="243">
        <v>316611.45</v>
      </c>
      <c r="K34" s="17"/>
      <c r="L34" s="245">
        <v>0.20032900000000001</v>
      </c>
      <c r="M34" s="243">
        <v>732563</v>
      </c>
      <c r="N34" s="243">
        <v>2164.6999999999998</v>
      </c>
      <c r="O34" s="243">
        <v>278891.5</v>
      </c>
      <c r="P34" s="243">
        <v>121016.8</v>
      </c>
      <c r="Q34" s="8"/>
      <c r="R34" s="8"/>
      <c r="S34" s="8"/>
      <c r="T34" s="8"/>
      <c r="U34" s="8"/>
      <c r="V34" s="8"/>
      <c r="W34" s="8"/>
      <c r="X34" s="8"/>
      <c r="Y34" s="8"/>
    </row>
    <row r="35" spans="1:25" ht="22.5" customHeight="1">
      <c r="A35" s="17"/>
      <c r="B35" s="241">
        <v>2391029</v>
      </c>
      <c r="C35" s="11"/>
      <c r="D35" s="242">
        <v>5.4574990000000003</v>
      </c>
      <c r="E35" s="8"/>
      <c r="F35" s="243">
        <v>196124.68</v>
      </c>
      <c r="G35" s="244"/>
      <c r="H35" s="245">
        <v>10.553851</v>
      </c>
      <c r="I35" s="17"/>
      <c r="J35" s="243">
        <v>315174.45</v>
      </c>
      <c r="K35" s="17"/>
      <c r="L35" s="245">
        <v>0.20032900000000001</v>
      </c>
      <c r="M35" s="243">
        <v>720645</v>
      </c>
      <c r="N35" s="243">
        <v>2137</v>
      </c>
      <c r="O35" s="243">
        <v>277995.38</v>
      </c>
      <c r="P35" s="243">
        <v>120684.7</v>
      </c>
      <c r="Q35" s="8"/>
      <c r="R35" s="8"/>
      <c r="S35" s="8"/>
      <c r="T35" s="8"/>
      <c r="U35" s="8"/>
      <c r="V35" s="8"/>
      <c r="W35" s="8"/>
      <c r="X35" s="8"/>
      <c r="Y35" s="8"/>
    </row>
    <row r="36" spans="1:25" ht="22.5" customHeight="1">
      <c r="A36" s="94"/>
      <c r="B36" s="246">
        <f>SUM(B34-B35)*0.12</f>
        <v>509.4</v>
      </c>
      <c r="C36" s="12"/>
      <c r="D36" s="246">
        <f>SUM(D34-D35)*120</f>
        <v>2802.864</v>
      </c>
      <c r="E36" s="8"/>
      <c r="F36" s="243">
        <f>SUM(F34-F35)*2</f>
        <v>2662.140000000014</v>
      </c>
      <c r="G36" s="99"/>
      <c r="H36" s="243">
        <f>SUM(H34-H35)*7.5</f>
        <v>117.70836</v>
      </c>
      <c r="I36" s="247"/>
      <c r="J36" s="243">
        <f>SUM(J34-J35)*2</f>
        <v>2874</v>
      </c>
      <c r="K36" s="247"/>
      <c r="L36" s="248">
        <f>SUM(L34-L35)*60</f>
        <v>0</v>
      </c>
      <c r="M36" s="243">
        <f>SUM(M34-M35)*0.12</f>
        <v>1430.1599999999999</v>
      </c>
      <c r="N36" s="243">
        <f>SUM(N34-N35)*1</f>
        <v>27.699999999999818</v>
      </c>
      <c r="O36" s="243">
        <f>SUM(O34-O35)*2</f>
        <v>1792.2399999999907</v>
      </c>
      <c r="P36" s="243">
        <f>SUM(P34-P35)*1</f>
        <v>332.10000000000582</v>
      </c>
      <c r="Q36" s="8"/>
      <c r="R36" s="8"/>
      <c r="S36" s="8"/>
      <c r="T36" s="8"/>
      <c r="U36" s="8"/>
      <c r="V36" s="8"/>
      <c r="W36" s="8"/>
      <c r="X36" s="8"/>
      <c r="Y36" s="15"/>
    </row>
    <row r="37" spans="1:25" ht="22.5" customHeight="1">
      <c r="A37" s="94"/>
      <c r="B37" s="15"/>
      <c r="C37" s="249"/>
      <c r="D37" s="247"/>
      <c r="E37" s="8"/>
      <c r="F37" s="247"/>
      <c r="G37" s="99"/>
      <c r="H37" s="247"/>
      <c r="I37" s="247"/>
      <c r="J37" s="247"/>
      <c r="K37" s="247"/>
      <c r="M37" s="247"/>
      <c r="N37" s="247"/>
      <c r="O37" s="15"/>
      <c r="P37" s="8"/>
      <c r="Q37" s="8"/>
      <c r="R37" s="8"/>
      <c r="S37" s="8"/>
      <c r="T37" s="8"/>
      <c r="U37" s="8"/>
      <c r="V37" s="8"/>
      <c r="W37" s="8"/>
      <c r="X37" s="8"/>
      <c r="Y37" s="15"/>
    </row>
    <row r="38" spans="1:25" ht="22.5" customHeight="1">
      <c r="A38" s="94"/>
      <c r="B38" s="247"/>
      <c r="C38" s="12"/>
      <c r="D38" s="135" t="s">
        <v>260</v>
      </c>
      <c r="E38" s="8"/>
      <c r="F38" s="247"/>
      <c r="G38" s="99"/>
      <c r="H38" s="247"/>
      <c r="I38" s="247"/>
      <c r="J38" s="247"/>
      <c r="K38" s="247"/>
      <c r="M38" s="247"/>
      <c r="N38" s="247"/>
      <c r="O38" s="15"/>
      <c r="P38" s="8"/>
      <c r="Q38" s="8"/>
      <c r="R38" s="8"/>
      <c r="S38" s="8"/>
      <c r="T38" s="8"/>
      <c r="U38" s="8"/>
      <c r="V38" s="8"/>
      <c r="W38" s="8"/>
      <c r="X38" s="8"/>
      <c r="Y38" s="15"/>
    </row>
    <row r="39" spans="1:25" ht="22.5" customHeight="1">
      <c r="A39" s="307" t="s">
        <v>261</v>
      </c>
      <c r="B39" s="261"/>
      <c r="C39" s="8"/>
      <c r="D39" s="135" t="s">
        <v>262</v>
      </c>
      <c r="E39" s="8"/>
      <c r="F39" s="135" t="s">
        <v>263</v>
      </c>
      <c r="G39" s="8"/>
      <c r="H39" s="8" t="s">
        <v>264</v>
      </c>
      <c r="I39" s="11"/>
      <c r="J39" s="11" t="s">
        <v>265</v>
      </c>
      <c r="K39" s="8"/>
      <c r="L39" s="11" t="s">
        <v>266</v>
      </c>
      <c r="M39" s="11" t="s">
        <v>267</v>
      </c>
      <c r="N39" s="250" t="s">
        <v>268</v>
      </c>
      <c r="O39" s="8" t="s">
        <v>269</v>
      </c>
      <c r="P39" s="11" t="s">
        <v>270</v>
      </c>
      <c r="Q39" s="8"/>
      <c r="R39" s="8"/>
      <c r="S39" s="8"/>
      <c r="T39" s="8"/>
      <c r="U39" s="8"/>
      <c r="V39" s="8"/>
      <c r="W39" s="8"/>
      <c r="X39" s="8"/>
      <c r="Y39" s="8"/>
    </row>
    <row r="40" spans="1:25" ht="22.5" customHeight="1">
      <c r="A40" s="14"/>
      <c r="B40" s="14" t="s">
        <v>16</v>
      </c>
      <c r="C40" s="8"/>
      <c r="D40" s="14" t="s">
        <v>16</v>
      </c>
      <c r="E40" s="8"/>
      <c r="F40" s="135" t="s">
        <v>271</v>
      </c>
      <c r="G40" s="8"/>
      <c r="H40" s="14" t="s">
        <v>16</v>
      </c>
      <c r="I40" s="8"/>
      <c r="J40" s="14" t="s">
        <v>16</v>
      </c>
      <c r="K40" s="8"/>
      <c r="L40" s="11" t="s">
        <v>113</v>
      </c>
      <c r="M40" s="11" t="s">
        <v>17</v>
      </c>
      <c r="N40" s="11" t="s">
        <v>16</v>
      </c>
      <c r="O40" s="14" t="s">
        <v>16</v>
      </c>
      <c r="P40" s="11" t="s">
        <v>272</v>
      </c>
      <c r="Q40" s="8"/>
      <c r="R40" s="8"/>
      <c r="S40" s="8"/>
      <c r="T40" s="8"/>
      <c r="U40" s="8"/>
      <c r="V40" s="8"/>
      <c r="W40" s="8"/>
      <c r="X40" s="8"/>
      <c r="Y40" s="8"/>
    </row>
    <row r="41" spans="1:25" ht="22.5" customHeight="1">
      <c r="A41" s="8"/>
      <c r="B41" s="8"/>
      <c r="C41" s="14"/>
      <c r="D41" s="8"/>
      <c r="E41" s="8"/>
      <c r="F41" s="14" t="s">
        <v>16</v>
      </c>
      <c r="G41" s="8"/>
      <c r="H41" s="8"/>
      <c r="I41" s="8"/>
      <c r="J41" s="15"/>
      <c r="K41" s="8"/>
      <c r="M41" s="11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22.5" customHeight="1">
      <c r="A42" s="14"/>
      <c r="B42" s="14"/>
      <c r="C42" s="14"/>
      <c r="D42" s="14"/>
      <c r="E42" s="14"/>
      <c r="G42" s="14"/>
      <c r="H42" s="14"/>
      <c r="I42" s="14"/>
      <c r="J42" s="14"/>
      <c r="K42" s="14"/>
      <c r="M42" s="11"/>
      <c r="N42" s="14" t="s">
        <v>273</v>
      </c>
      <c r="O42" s="12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22.5" customHeight="1">
      <c r="A43" s="8"/>
      <c r="B43" s="8"/>
      <c r="C43" s="8"/>
      <c r="D43" s="13"/>
      <c r="E43" s="13"/>
      <c r="F43" s="13"/>
      <c r="G43" s="13"/>
      <c r="H43" s="8"/>
      <c r="I43" s="13"/>
      <c r="J43" s="8"/>
      <c r="K43" s="13"/>
      <c r="M43" s="8"/>
      <c r="N43" s="8" t="s">
        <v>274</v>
      </c>
      <c r="O43" s="12">
        <f>O36-O42</f>
        <v>1792.2399999999907</v>
      </c>
      <c r="P43" s="8"/>
      <c r="Q43" s="13"/>
      <c r="R43" s="8"/>
      <c r="S43" s="8"/>
      <c r="T43" s="8"/>
      <c r="U43" s="8"/>
      <c r="V43" s="8"/>
      <c r="W43" s="8"/>
      <c r="X43" s="8"/>
      <c r="Y43" s="8"/>
    </row>
    <row r="44" spans="1:25" ht="22.5" customHeight="1">
      <c r="A44" s="8"/>
      <c r="B44" s="17" t="s">
        <v>8</v>
      </c>
      <c r="C44" s="17"/>
      <c r="D44" s="243">
        <v>10646.12</v>
      </c>
      <c r="E44" s="8"/>
      <c r="F44" s="13" t="s">
        <v>164</v>
      </c>
      <c r="G44" s="13"/>
      <c r="H44" s="13"/>
      <c r="I44" s="13"/>
      <c r="J44" s="13"/>
      <c r="K44" s="13"/>
      <c r="L44" s="13"/>
      <c r="M44" s="13"/>
      <c r="N44" s="13"/>
      <c r="O44" s="13"/>
      <c r="P44" s="8"/>
      <c r="Q44" s="11"/>
      <c r="R44" s="8"/>
      <c r="S44" s="8"/>
      <c r="T44" s="8"/>
      <c r="U44" s="8"/>
      <c r="V44" s="8"/>
      <c r="W44" s="8"/>
      <c r="X44" s="8"/>
      <c r="Y44" s="8"/>
    </row>
    <row r="45" spans="1:25" ht="22.5" customHeight="1">
      <c r="A45" s="8"/>
      <c r="B45" s="17" t="s">
        <v>10</v>
      </c>
      <c r="C45" s="17"/>
      <c r="D45" s="243">
        <v>10578.7</v>
      </c>
      <c r="E45" s="8"/>
      <c r="F45" s="308">
        <v>5126501</v>
      </c>
      <c r="G45" s="263"/>
      <c r="H45" s="230"/>
      <c r="I45" s="13"/>
      <c r="J45" s="251"/>
      <c r="K45" s="8"/>
      <c r="L45" s="13"/>
      <c r="M45" s="13"/>
      <c r="N45" s="13"/>
      <c r="O45" s="13"/>
      <c r="P45" s="13"/>
      <c r="Q45" s="11"/>
      <c r="R45" s="8"/>
      <c r="S45" s="8"/>
      <c r="T45" s="8"/>
      <c r="U45" s="8"/>
      <c r="V45" s="8"/>
      <c r="W45" s="8"/>
      <c r="X45" s="8"/>
      <c r="Y45" s="8"/>
    </row>
    <row r="46" spans="1:25" ht="22.5" customHeight="1">
      <c r="A46" s="17"/>
      <c r="B46" s="17"/>
      <c r="C46" s="8"/>
      <c r="D46" s="243">
        <f>SUM(D44-D45)*160/1000</f>
        <v>10.787200000000011</v>
      </c>
      <c r="E46" s="8"/>
      <c r="F46" s="308">
        <v>5106481</v>
      </c>
      <c r="G46" s="263"/>
      <c r="H46" s="16" t="s">
        <v>275</v>
      </c>
      <c r="I46" s="17"/>
      <c r="J46" s="8"/>
      <c r="K46" s="13"/>
      <c r="L46" s="13"/>
      <c r="M46" s="13"/>
      <c r="N46" s="13"/>
      <c r="O46" s="8"/>
      <c r="P46" s="8"/>
      <c r="Q46" s="13"/>
      <c r="R46" s="8"/>
      <c r="S46" s="8"/>
      <c r="T46" s="8"/>
      <c r="U46" s="8"/>
      <c r="V46" s="8"/>
      <c r="W46" s="8"/>
      <c r="X46" s="8"/>
      <c r="Y46" s="8"/>
    </row>
    <row r="47" spans="1:25" ht="22.5" customHeight="1">
      <c r="A47" s="17"/>
      <c r="B47" s="17"/>
      <c r="C47" s="100" t="s">
        <v>11</v>
      </c>
      <c r="D47" s="100"/>
      <c r="E47" s="8"/>
      <c r="F47" s="312">
        <f>SUM(F45-F46)*0.06</f>
        <v>1201.2</v>
      </c>
      <c r="G47" s="263"/>
      <c r="H47" s="229" t="s">
        <v>142</v>
      </c>
      <c r="I47" s="229"/>
      <c r="J47" s="8"/>
      <c r="K47" s="8"/>
      <c r="L47" s="8"/>
      <c r="M47" s="8"/>
      <c r="N47" s="8"/>
      <c r="O47" s="8"/>
      <c r="P47" s="8"/>
      <c r="Q47" s="13"/>
      <c r="R47" s="8"/>
      <c r="S47" s="8"/>
      <c r="T47" s="8"/>
      <c r="U47" s="8"/>
      <c r="V47" s="8"/>
      <c r="W47" s="8"/>
      <c r="X47" s="8"/>
      <c r="Y47" s="8"/>
    </row>
    <row r="48" spans="1:25" ht="22.5" customHeight="1">
      <c r="A48" s="17"/>
      <c r="B48" s="17"/>
      <c r="C48" s="134" t="s">
        <v>12</v>
      </c>
      <c r="D48" s="134"/>
      <c r="E48" s="8"/>
      <c r="F48" s="8"/>
      <c r="G48" s="8"/>
      <c r="H48" s="11" t="s">
        <v>17</v>
      </c>
      <c r="I48" s="8"/>
      <c r="J48" s="15"/>
      <c r="K48" s="8"/>
      <c r="L48" s="8"/>
      <c r="M48" s="8"/>
      <c r="N48" s="8"/>
      <c r="O48" s="13"/>
      <c r="P48" s="13"/>
      <c r="Q48" s="13"/>
      <c r="R48" s="8"/>
      <c r="S48" s="8"/>
      <c r="T48" s="15"/>
      <c r="U48" s="8"/>
      <c r="V48" s="8"/>
      <c r="W48" s="8"/>
      <c r="X48" s="8"/>
      <c r="Y48" s="8"/>
    </row>
    <row r="49" spans="1:25" ht="22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15"/>
      <c r="M49" s="8"/>
      <c r="N49" s="8"/>
      <c r="O49" s="8"/>
      <c r="P49" s="8"/>
      <c r="Q49" s="8"/>
      <c r="R49" s="8"/>
      <c r="S49" s="8"/>
      <c r="T49" s="15"/>
      <c r="U49" s="8"/>
      <c r="V49" s="8"/>
      <c r="W49" s="8"/>
      <c r="X49" s="8"/>
      <c r="Y49" s="8"/>
    </row>
    <row r="50" spans="1:25" ht="24" customHeight="1">
      <c r="A50" s="19"/>
      <c r="B50" s="316" t="s">
        <v>7</v>
      </c>
      <c r="C50" s="263"/>
      <c r="D50" s="316" t="s">
        <v>13</v>
      </c>
      <c r="E50" s="263"/>
      <c r="F50" s="316" t="s">
        <v>18</v>
      </c>
      <c r="G50" s="263"/>
      <c r="H50" s="252" t="s">
        <v>19</v>
      </c>
      <c r="I50" s="253"/>
      <c r="J50" s="20" t="s">
        <v>276</v>
      </c>
      <c r="K50" s="316" t="s">
        <v>277</v>
      </c>
      <c r="L50" s="263"/>
      <c r="M50" s="20" t="s">
        <v>278</v>
      </c>
      <c r="N50" s="20" t="s">
        <v>279</v>
      </c>
      <c r="O50" s="20" t="s">
        <v>20</v>
      </c>
      <c r="P50" s="20" t="s">
        <v>76</v>
      </c>
      <c r="Q50" s="20" t="s">
        <v>21</v>
      </c>
      <c r="R50" s="8"/>
      <c r="S50" s="8"/>
      <c r="T50" s="8"/>
      <c r="U50" s="8"/>
      <c r="V50" s="8"/>
      <c r="W50" s="8"/>
      <c r="X50" s="8"/>
      <c r="Y50" s="8"/>
    </row>
    <row r="51" spans="1:25" ht="22.5" customHeight="1">
      <c r="A51" s="28" t="s">
        <v>22</v>
      </c>
      <c r="B51" s="312">
        <f>F16+N16+J16</f>
        <v>13802</v>
      </c>
      <c r="C51" s="263"/>
      <c r="D51" s="315">
        <f>D27+I27+M27</f>
        <v>13749.770000000008</v>
      </c>
      <c r="E51" s="263"/>
      <c r="F51" s="312">
        <f>B51</f>
        <v>13802</v>
      </c>
      <c r="G51" s="263"/>
      <c r="H51" s="231" t="s">
        <v>23</v>
      </c>
      <c r="I51" s="254"/>
      <c r="J51" s="232" t="s">
        <v>26</v>
      </c>
      <c r="K51" s="315">
        <f>B36+D36+H36+J36+N36+F36+O42</f>
        <v>8993.8123600000145</v>
      </c>
      <c r="L51" s="263"/>
      <c r="M51" s="232" t="s">
        <v>26</v>
      </c>
      <c r="N51" s="243"/>
      <c r="O51" s="10">
        <f>O43</f>
        <v>1792.2399999999907</v>
      </c>
      <c r="P51" s="10"/>
      <c r="Q51" s="10">
        <f>SUM(K51:P51)</f>
        <v>10786.052360000005</v>
      </c>
      <c r="R51" s="8"/>
      <c r="S51" s="8"/>
      <c r="T51" s="8"/>
      <c r="U51" s="8"/>
      <c r="V51" s="8"/>
      <c r="W51" s="8"/>
      <c r="X51" s="8"/>
      <c r="Y51" s="8"/>
    </row>
    <row r="52" spans="1:25" ht="22.5" customHeight="1">
      <c r="A52" s="28" t="s">
        <v>2</v>
      </c>
      <c r="B52" s="312">
        <f>D27+I27+M27+J13</f>
        <v>13749.770000000008</v>
      </c>
      <c r="C52" s="263"/>
      <c r="D52" s="315">
        <f>H36+J36+N36+O36+F47+F36+B36+D36+D46+Q25+P36+M36</f>
        <v>13760.299560000009</v>
      </c>
      <c r="E52" s="263"/>
      <c r="F52" s="312">
        <f>D52+J13</f>
        <v>13760.299560000009</v>
      </c>
      <c r="G52" s="263"/>
      <c r="H52" s="231" t="s">
        <v>24</v>
      </c>
      <c r="I52" s="254"/>
      <c r="J52" s="243">
        <f>L36</f>
        <v>0</v>
      </c>
      <c r="K52" s="304" t="s">
        <v>26</v>
      </c>
      <c r="L52" s="263"/>
      <c r="M52" s="19"/>
      <c r="N52" s="10">
        <f>M36+F47</f>
        <v>2631.3599999999997</v>
      </c>
      <c r="O52" s="9"/>
      <c r="P52" s="9"/>
      <c r="Q52" s="10">
        <f t="shared" ref="Q52:Q53" si="0">SUM(J52:P52)</f>
        <v>2631.3599999999997</v>
      </c>
      <c r="R52" s="8"/>
      <c r="S52" s="8"/>
      <c r="T52" s="8"/>
      <c r="U52" s="8"/>
      <c r="V52" s="8"/>
      <c r="W52" s="8"/>
      <c r="X52" s="8"/>
      <c r="Y52" s="8"/>
    </row>
    <row r="53" spans="1:25" ht="22.5" customHeight="1">
      <c r="A53" s="28"/>
      <c r="B53" s="255"/>
      <c r="C53" s="256"/>
      <c r="D53" s="255"/>
      <c r="E53" s="256"/>
      <c r="F53" s="255"/>
      <c r="G53" s="256"/>
      <c r="H53" s="231" t="s">
        <v>25</v>
      </c>
      <c r="I53" s="254"/>
      <c r="J53" s="243"/>
      <c r="K53" s="304"/>
      <c r="L53" s="263"/>
      <c r="M53" s="243">
        <f>P36</f>
        <v>332.10000000000582</v>
      </c>
      <c r="N53" s="243"/>
      <c r="O53" s="10">
        <v>0</v>
      </c>
      <c r="P53" s="9"/>
      <c r="Q53" s="10">
        <f t="shared" si="0"/>
        <v>332.10000000000582</v>
      </c>
      <c r="R53" s="8"/>
      <c r="S53" s="8"/>
      <c r="T53" s="8"/>
      <c r="U53" s="8"/>
      <c r="V53" s="8"/>
      <c r="W53" s="8"/>
      <c r="X53" s="8"/>
      <c r="Y53" s="8"/>
    </row>
    <row r="54" spans="1:25" ht="27.75" customHeight="1">
      <c r="A54" s="28" t="s">
        <v>27</v>
      </c>
      <c r="B54" s="303">
        <f>B51-B52</f>
        <v>52.229999999992287</v>
      </c>
      <c r="C54" s="263"/>
      <c r="D54" s="303">
        <f>D51-D52</f>
        <v>-10.529560000000856</v>
      </c>
      <c r="E54" s="263"/>
      <c r="F54" s="303">
        <f>F51-F52</f>
        <v>41.700439999991431</v>
      </c>
      <c r="G54" s="263"/>
      <c r="H54" s="231" t="s">
        <v>28</v>
      </c>
      <c r="I54" s="254"/>
      <c r="J54" s="232" t="s">
        <v>26</v>
      </c>
      <c r="K54" s="304" t="s">
        <v>26</v>
      </c>
      <c r="L54" s="263"/>
      <c r="M54" s="232" t="s">
        <v>26</v>
      </c>
      <c r="N54" s="232"/>
      <c r="O54" s="9"/>
      <c r="P54" s="10">
        <f>D46</f>
        <v>10.787200000000011</v>
      </c>
      <c r="Q54" s="10">
        <f>P54</f>
        <v>10.787200000000011</v>
      </c>
      <c r="R54" s="8"/>
      <c r="S54" s="8"/>
      <c r="T54" s="8"/>
      <c r="U54" s="8"/>
      <c r="V54" s="8"/>
      <c r="W54" s="8"/>
      <c r="X54" s="8"/>
      <c r="Y54" s="8"/>
    </row>
    <row r="55" spans="1:25" ht="22.5" customHeight="1">
      <c r="A55" s="257" t="s">
        <v>29</v>
      </c>
      <c r="B55" s="303">
        <f>B54/B51*100</f>
        <v>0.37842341689604614</v>
      </c>
      <c r="C55" s="263"/>
      <c r="D55" s="303">
        <f>D54/D51*100</f>
        <v>-7.6579899154682954E-2</v>
      </c>
      <c r="E55" s="263"/>
      <c r="F55" s="303">
        <f>F54/F51*100</f>
        <v>0.3021333140123999</v>
      </c>
      <c r="G55" s="263"/>
      <c r="H55" s="231" t="s">
        <v>30</v>
      </c>
      <c r="I55" s="254"/>
      <c r="J55" s="243">
        <f>J52</f>
        <v>0</v>
      </c>
      <c r="K55" s="315">
        <f>K51</f>
        <v>8993.8123600000145</v>
      </c>
      <c r="L55" s="263"/>
      <c r="M55" s="243">
        <f>M53</f>
        <v>332.10000000000582</v>
      </c>
      <c r="N55" s="243">
        <f t="shared" ref="N55:O55" si="1">SUM(N51:N54)</f>
        <v>2631.3599999999997</v>
      </c>
      <c r="O55" s="10">
        <f t="shared" si="1"/>
        <v>1792.2399999999907</v>
      </c>
      <c r="P55" s="258">
        <f>P54</f>
        <v>10.787200000000011</v>
      </c>
      <c r="Q55" s="10">
        <f>SUM(Q51:Q54)</f>
        <v>13760.299560000012</v>
      </c>
      <c r="R55" s="15"/>
      <c r="S55" s="8"/>
      <c r="T55" s="15"/>
      <c r="U55" s="8"/>
      <c r="V55" s="8"/>
      <c r="W55" s="8"/>
      <c r="X55" s="8"/>
      <c r="Y55" s="8"/>
    </row>
    <row r="56" spans="1:25" ht="12.75" customHeight="1">
      <c r="A56" s="4"/>
      <c r="B56" s="4"/>
      <c r="C56" s="23"/>
      <c r="D56" s="23"/>
      <c r="E56" s="23"/>
      <c r="F56" s="259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23"/>
      <c r="D57" s="260"/>
      <c r="E57" s="4"/>
      <c r="F57" s="260"/>
      <c r="G57" s="260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4"/>
      <c r="B58" s="4"/>
      <c r="C58" s="23"/>
      <c r="D58" s="260"/>
      <c r="E58" s="4"/>
      <c r="F58" s="260"/>
      <c r="G58" s="260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4"/>
      <c r="B59" s="4"/>
      <c r="C59" s="23"/>
      <c r="D59" s="260"/>
      <c r="E59" s="4"/>
      <c r="F59" s="260"/>
      <c r="G59" s="260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4"/>
      <c r="B60" s="4"/>
      <c r="C60" s="23"/>
      <c r="D60" s="260"/>
      <c r="E60" s="4"/>
      <c r="F60" s="260"/>
      <c r="G60" s="260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5" t="s">
        <v>31</v>
      </c>
      <c r="B61" s="4"/>
      <c r="C61" s="4"/>
      <c r="D61" s="5" t="s">
        <v>32</v>
      </c>
      <c r="E61" s="4"/>
      <c r="F61" s="53" t="s">
        <v>239</v>
      </c>
      <c r="G61" s="4"/>
      <c r="H61" s="5" t="s">
        <v>34</v>
      </c>
      <c r="I61" s="23"/>
      <c r="J61" s="5"/>
      <c r="K61" s="5" t="s">
        <v>33</v>
      </c>
      <c r="L61" s="23"/>
      <c r="M61" s="4"/>
      <c r="N61" s="5" t="s">
        <v>280</v>
      </c>
      <c r="O61" s="3"/>
      <c r="P61" s="3" t="s">
        <v>35</v>
      </c>
      <c r="Q61" s="5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5" t="s">
        <v>36</v>
      </c>
      <c r="B62" s="4"/>
      <c r="C62" s="4"/>
      <c r="D62" s="5" t="s">
        <v>36</v>
      </c>
      <c r="E62" s="4"/>
      <c r="F62" s="53" t="s">
        <v>240</v>
      </c>
      <c r="G62" s="6"/>
      <c r="H62" s="5" t="s">
        <v>36</v>
      </c>
      <c r="I62" s="23"/>
      <c r="J62" s="5"/>
      <c r="K62" s="5" t="s">
        <v>36</v>
      </c>
      <c r="L62" s="23"/>
      <c r="M62" s="4"/>
      <c r="N62" s="5" t="s">
        <v>281</v>
      </c>
      <c r="O62" s="3"/>
      <c r="P62" s="3" t="s">
        <v>36</v>
      </c>
      <c r="Q62" s="5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5"/>
      <c r="C64" s="4"/>
      <c r="D64" s="5"/>
      <c r="E64" s="5"/>
      <c r="F64" s="5"/>
      <c r="G64" s="5"/>
      <c r="H64" s="4"/>
      <c r="I64" s="5"/>
      <c r="J64" s="4"/>
      <c r="K64" s="5"/>
      <c r="L64" s="266"/>
      <c r="M64" s="26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5"/>
      <c r="C65" s="4"/>
      <c r="D65" s="5"/>
      <c r="E65" s="5"/>
      <c r="F65" s="5"/>
      <c r="G65" s="5"/>
      <c r="H65" s="4"/>
      <c r="I65" s="5"/>
      <c r="J65" s="4"/>
      <c r="K65" s="5"/>
      <c r="L65" s="266"/>
      <c r="M65" s="26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</sheetData>
  <mergeCells count="83">
    <mergeCell ref="M25:N25"/>
    <mergeCell ref="M26:N26"/>
    <mergeCell ref="J14:K14"/>
    <mergeCell ref="J15:K15"/>
    <mergeCell ref="J16:K16"/>
    <mergeCell ref="J18:K18"/>
    <mergeCell ref="J19:K19"/>
    <mergeCell ref="N16:O16"/>
    <mergeCell ref="N17:O17"/>
    <mergeCell ref="N18:O18"/>
    <mergeCell ref="N19:O19"/>
    <mergeCell ref="I25:J25"/>
    <mergeCell ref="I26:J26"/>
    <mergeCell ref="M23:N23"/>
    <mergeCell ref="M24:N24"/>
    <mergeCell ref="F14:G14"/>
    <mergeCell ref="F15:G15"/>
    <mergeCell ref="F16:G16"/>
    <mergeCell ref="F17:G17"/>
    <mergeCell ref="D25:E25"/>
    <mergeCell ref="F18:G18"/>
    <mergeCell ref="F19:G19"/>
    <mergeCell ref="G22:H22"/>
    <mergeCell ref="G23:H23"/>
    <mergeCell ref="F45:G45"/>
    <mergeCell ref="F46:G46"/>
    <mergeCell ref="F47:G47"/>
    <mergeCell ref="B50:C50"/>
    <mergeCell ref="D50:E50"/>
    <mergeCell ref="F50:G50"/>
    <mergeCell ref="K50:L50"/>
    <mergeCell ref="B52:C52"/>
    <mergeCell ref="B55:C55"/>
    <mergeCell ref="D55:E55"/>
    <mergeCell ref="F55:G55"/>
    <mergeCell ref="L65:M65"/>
    <mergeCell ref="L64:M64"/>
    <mergeCell ref="B51:C51"/>
    <mergeCell ref="D51:E51"/>
    <mergeCell ref="F51:G51"/>
    <mergeCell ref="K51:L51"/>
    <mergeCell ref="D52:E52"/>
    <mergeCell ref="F52:G52"/>
    <mergeCell ref="K55:L55"/>
    <mergeCell ref="K52:L52"/>
    <mergeCell ref="K53:L53"/>
    <mergeCell ref="B54:C54"/>
    <mergeCell ref="D54:E54"/>
    <mergeCell ref="F54:G54"/>
    <mergeCell ref="K54:L54"/>
    <mergeCell ref="A4:Q4"/>
    <mergeCell ref="E6:G6"/>
    <mergeCell ref="I6:K6"/>
    <mergeCell ref="F8:G8"/>
    <mergeCell ref="J8:K8"/>
    <mergeCell ref="N8:O8"/>
    <mergeCell ref="F9:G9"/>
    <mergeCell ref="F10:G10"/>
    <mergeCell ref="N10:O10"/>
    <mergeCell ref="J9:K9"/>
    <mergeCell ref="J10:K10"/>
    <mergeCell ref="N9:O9"/>
    <mergeCell ref="F11:G11"/>
    <mergeCell ref="J11:K11"/>
    <mergeCell ref="F12:G12"/>
    <mergeCell ref="J12:K12"/>
    <mergeCell ref="J13:K13"/>
    <mergeCell ref="F13:G13"/>
    <mergeCell ref="N11:O11"/>
    <mergeCell ref="N12:O12"/>
    <mergeCell ref="N13:O13"/>
    <mergeCell ref="N14:O14"/>
    <mergeCell ref="N15:O15"/>
    <mergeCell ref="D30:E30"/>
    <mergeCell ref="O30:P30"/>
    <mergeCell ref="A39:B39"/>
    <mergeCell ref="D26:E26"/>
    <mergeCell ref="D27:E27"/>
    <mergeCell ref="I27:J27"/>
    <mergeCell ref="M27:N27"/>
    <mergeCell ref="I28:J28"/>
    <mergeCell ref="D29:E29"/>
    <mergeCell ref="I29:J29"/>
  </mergeCells>
  <pageMargins left="0.39" right="0.24" top="0.39" bottom="0.75" header="0" footer="0"/>
  <pageSetup paperSize="9" scale="6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Gulaothi</vt:lpstr>
      <vt:lpstr>Sikandrabad</vt:lpstr>
      <vt:lpstr>Bhoor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SANJAY KUMAR</cp:lastModifiedBy>
  <cp:lastPrinted>2026-02-04T10:24:13Z</cp:lastPrinted>
  <dcterms:created xsi:type="dcterms:W3CDTF">2011-08-02T13:53:00Z</dcterms:created>
  <dcterms:modified xsi:type="dcterms:W3CDTF">2026-03-19T21:04:01Z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CD45BB088379491382C5D0B951799E31_12</vt:lpwstr>
  </property>
  <property fmtid="{D5CDD505-2E9C-101B-9397-08002B2CF9AE}" pid="3" name="KSOProductBuildVer">
    <vt:lpwstr>1033-12.2.0.20782</vt:lpwstr>
  </property>
</Properties>
</file>